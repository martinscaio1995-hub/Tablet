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 por Peca" sheetId="1" state="visible" r:id="rId1"/>
    <sheet name="Registro de 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;(#,##0.0);-"/>
    <numFmt numFmtId="166" formatCode="R$ #,##0.00;(R$ #,##0.00);-"/>
    <numFmt numFmtId="167" formatCode="0.0%;(0.0%);-"/>
    <numFmt numFmtId="168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2" borderId="1" pivotButton="0" quotePrefix="0" xfId="0"/>
    <xf numFmtId="164" fontId="5" fillId="2" borderId="1" pivotButton="0" quotePrefix="0" xfId="0"/>
    <xf numFmtId="3" fontId="5" fillId="2" borderId="1" pivotButton="0" quotePrefix="0" xfId="0"/>
    <xf numFmtId="9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165" fontId="5" fillId="2" borderId="1" pivotButton="0" quotePrefix="0" xfId="0"/>
    <xf numFmtId="166" fontId="4" fillId="0" borderId="1" pivotButton="0" quotePrefix="0" xfId="0"/>
    <xf numFmtId="166" fontId="3" fillId="0" borderId="1" pivotButton="0" quotePrefix="0" xfId="0"/>
    <xf numFmtId="167" fontId="4" fillId="0" borderId="1" pivotButton="0" quotePrefix="0" xfId="0"/>
    <xf numFmtId="166" fontId="4" fillId="4" borderId="1" pivotButton="0" quotePrefix="0" xfId="0"/>
    <xf numFmtId="166" fontId="3" fillId="4" borderId="1" pivotButton="0" quotePrefix="0" xfId="0"/>
    <xf numFmtId="167" fontId="4" fillId="4" borderId="1" pivotButton="0" quotePrefix="0" xfId="0"/>
    <xf numFmtId="168" fontId="5" fillId="2" borderId="1" pivotButton="0" quotePrefix="0" xfId="0"/>
    <xf numFmtId="166" fontId="5" fillId="2" borderId="1" pivotButton="0" quotePrefix="0" xfId="0"/>
    <xf numFmtId="166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Planilha</author>
  </authors>
  <commentList>
    <comment ref="B5" authorId="0" shapeId="0">
      <text>
        <t>Preço que você paga por rolo de 1 kg de PLA.</t>
      </text>
    </comment>
    <comment ref="B6" authorId="0" shapeId="0">
      <text>
        <t>Veja na sua conta de luz: total da fatura / kWh consumidos.</t>
      </text>
    </comment>
    <comment ref="B7" authorId="0" shapeId="0">
      <text>
        <t>Média realista com bico e mesa aquecidos em PLA. Troque se medir com wattímetro.</t>
      </text>
    </comment>
    <comment ref="B8" authorId="0" shapeId="0">
      <text>
        <t>Caixa/saco bolha, fita, etiqueta e brinde.</t>
      </text>
    </comment>
    <comment ref="B9" authorId="0" shapeId="0">
      <text>
        <t>Fração das impressões que dá errado. 10% é conservador para PLA em A1.</t>
      </text>
    </comment>
    <comment ref="B10" authorId="0" shapeId="0">
      <text>
        <t>Bico, placa PEI, correias e peças de reposição, rateados por hora de impressão.</t>
      </text>
    </comment>
    <comment ref="B11" authorId="0" shapeId="0">
      <text>
        <t>Comissão do TikTok Shop. Confirme a taxa vigente da sua categoria no painel do vendedor.</t>
      </text>
    </comment>
    <comment ref="B12" authorId="0" shapeId="0">
      <text>
        <t>Quanto vale a sua hora. Entra no custo via minutos de manuseio da peça.</t>
      </text>
    </comment>
    <comment ref="B13" authorId="0" shapeId="0">
      <text>
        <t>Preço-alvo = custo x este número. 3x é o padrão de varejo para artesanal.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4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3" customWidth="1" min="12" max="12"/>
    <col width="14" customWidth="1" min="13" max="13"/>
    <col width="12" customWidth="1" min="14" max="14"/>
    <col width="13" customWidth="1" min="15" max="15"/>
    <col width="9" customWidth="1" min="16" max="16"/>
  </cols>
  <sheetData>
    <row r="1">
      <c r="A1" s="1" t="inlineStr">
        <is>
          <t>Leilão de Bonecos 3D — Custo e Lance Mínimo</t>
        </is>
      </c>
    </row>
    <row r="2">
      <c r="A2" s="2" t="inlineStr">
        <is>
          <t>Bambu Lab A1 · TikTok Shop. Preencha apenas as células AMARELAS (texto azul).</t>
        </is>
      </c>
    </row>
    <row r="4">
      <c r="A4" s="3" t="inlineStr">
        <is>
          <t>PREMISSAS</t>
        </is>
      </c>
    </row>
    <row r="5">
      <c r="A5" s="4" t="inlineStr">
        <is>
          <t>Preço do filamento (R$/kg)</t>
        </is>
      </c>
      <c r="B5" s="5" t="n">
        <v>110</v>
      </c>
    </row>
    <row r="6">
      <c r="A6" s="4" t="inlineStr">
        <is>
          <t>Tarifa de energia (R$/kWh)</t>
        </is>
      </c>
      <c r="B6" s="6" t="n">
        <v>0.95</v>
      </c>
    </row>
    <row r="7">
      <c r="A7" s="4" t="inlineStr">
        <is>
          <t>Potência média da A1 (W)</t>
        </is>
      </c>
      <c r="B7" s="7" t="n">
        <v>100</v>
      </c>
    </row>
    <row r="8">
      <c r="A8" s="4" t="inlineStr">
        <is>
          <t>Embalagem + etiqueta (R$/peça)</t>
        </is>
      </c>
      <c r="B8" s="5" t="n">
        <v>4</v>
      </c>
    </row>
    <row r="9">
      <c r="A9" s="4" t="inlineStr">
        <is>
          <t>Taxa de falha / refugo (%)</t>
        </is>
      </c>
      <c r="B9" s="8" t="n">
        <v>0.1</v>
      </c>
    </row>
    <row r="10">
      <c r="A10" s="4" t="inlineStr">
        <is>
          <t>Desgaste e manutenção (R$/hora)</t>
        </is>
      </c>
      <c r="B10" s="5" t="n">
        <v>0.5</v>
      </c>
    </row>
    <row r="11">
      <c r="A11" s="4" t="inlineStr">
        <is>
          <t>Comissão do marketplace (%)</t>
        </is>
      </c>
      <c r="B11" s="8" t="n">
        <v>0.08</v>
      </c>
    </row>
    <row r="12">
      <c r="A12" s="4" t="inlineStr">
        <is>
          <t>Seu custo por hora (R$)</t>
        </is>
      </c>
      <c r="B12" s="5" t="n">
        <v>25</v>
      </c>
    </row>
    <row r="13">
      <c r="A13" s="4" t="inlineStr">
        <is>
          <t>Multiplicador de preço-alvo (x)</t>
        </is>
      </c>
      <c r="B13" s="5" t="n">
        <v>3</v>
      </c>
    </row>
    <row r="15">
      <c r="A15" s="3" t="inlineStr">
        <is>
          <t>PEÇAS</t>
        </is>
      </c>
      <c r="D15" s="2" t="inlineStr">
        <is>
          <t>Preencha as 4 primeiras colunas. O resto é calculado.</t>
        </is>
      </c>
    </row>
    <row r="16" ht="30" customHeight="1">
      <c r="A16" s="9" t="inlineStr">
        <is>
          <t>Peça</t>
        </is>
      </c>
      <c r="B16" s="9" t="inlineStr">
        <is>
          <t>Peso (g)</t>
        </is>
      </c>
      <c r="C16" s="9" t="inlineStr">
        <is>
          <t>Impressão (h)</t>
        </is>
      </c>
      <c r="D16" s="9" t="inlineStr">
        <is>
          <t>Manuseio (min)</t>
        </is>
      </c>
      <c r="E16" s="9" t="inlineStr">
        <is>
          <t>Filamento</t>
        </is>
      </c>
      <c r="F16" s="9" t="inlineStr">
        <is>
          <t>Energia</t>
        </is>
      </c>
      <c r="G16" s="9" t="inlineStr">
        <is>
          <t>Embalagem</t>
        </is>
      </c>
      <c r="H16" s="9" t="inlineStr">
        <is>
          <t>Desgaste</t>
        </is>
      </c>
      <c r="I16" s="9" t="inlineStr">
        <is>
          <t>Seu tempo</t>
        </is>
      </c>
      <c r="J16" s="9" t="inlineStr">
        <is>
          <t>Subtotal</t>
        </is>
      </c>
      <c r="K16" s="9" t="inlineStr">
        <is>
          <t>Refugo</t>
        </is>
      </c>
      <c r="L16" s="9" t="inlineStr">
        <is>
          <t>CUSTO TOTAL</t>
        </is>
      </c>
      <c r="M16" s="9" t="inlineStr">
        <is>
          <t>LANCE MÍNIMO</t>
        </is>
      </c>
      <c r="N16" s="9" t="inlineStr">
        <is>
          <t>Preço-alvo</t>
        </is>
      </c>
      <c r="O16" s="9" t="inlineStr">
        <is>
          <t>Lucro no alvo</t>
        </is>
      </c>
      <c r="P16" s="9" t="inlineStr">
        <is>
          <t>Margem</t>
        </is>
      </c>
    </row>
    <row r="17">
      <c r="A17" s="10" t="inlineStr">
        <is>
          <t>Dragão articulado M (exemplo)</t>
        </is>
      </c>
      <c r="B17" s="11" t="n">
        <v>95</v>
      </c>
      <c r="C17" s="11" t="n">
        <v>5.5</v>
      </c>
      <c r="D17" s="11" t="n">
        <v>8</v>
      </c>
      <c r="E17" s="12">
        <f>IF($B17="","",$B17*$B$5/1000)</f>
        <v/>
      </c>
      <c r="F17" s="12">
        <f>IF($B17="","",$C17*$B$7/1000*$B$6)</f>
        <v/>
      </c>
      <c r="G17" s="12">
        <f>IF($B17="","",$B$8)</f>
        <v/>
      </c>
      <c r="H17" s="12">
        <f>IF($B17="","",$C17*$B$10)</f>
        <v/>
      </c>
      <c r="I17" s="12">
        <f>IF($B17="","",$D17/60*$B$12)</f>
        <v/>
      </c>
      <c r="J17" s="12">
        <f>IF($B17="","",SUM($E17:$I17))</f>
        <v/>
      </c>
      <c r="K17" s="12">
        <f>IF($B17="","",$J17*$B$9)</f>
        <v/>
      </c>
      <c r="L17" s="13">
        <f>IF($B17="","",$J17+$K17)</f>
        <v/>
      </c>
      <c r="M17" s="13">
        <f>IFERROR(CEILING($L17/(1-$B$11),1),"")</f>
        <v/>
      </c>
      <c r="N17" s="12">
        <f>IFERROR(CEILING($L17*$B$13/(1-$B$11),1),"")</f>
        <v/>
      </c>
      <c r="O17" s="12">
        <f>IFERROR($N17*(1-$B$11)-$L17,"")</f>
        <v/>
      </c>
      <c r="P17" s="14">
        <f>IFERROR($O17/$N17,"")</f>
        <v/>
      </c>
    </row>
    <row r="18">
      <c r="A18" s="10" t="n"/>
      <c r="B18" s="11" t="n"/>
      <c r="C18" s="11" t="n"/>
      <c r="D18" s="11" t="n"/>
      <c r="E18" s="15">
        <f>IF($B18="","",$B18*$B$5/1000)</f>
        <v/>
      </c>
      <c r="F18" s="15">
        <f>IF($B18="","",$C18*$B$7/1000*$B$6)</f>
        <v/>
      </c>
      <c r="G18" s="15">
        <f>IF($B18="","",$B$8)</f>
        <v/>
      </c>
      <c r="H18" s="15">
        <f>IF($B18="","",$C18*$B$10)</f>
        <v/>
      </c>
      <c r="I18" s="15">
        <f>IF($B18="","",$D18/60*$B$12)</f>
        <v/>
      </c>
      <c r="J18" s="15">
        <f>IF($B18="","",SUM($E18:$I18))</f>
        <v/>
      </c>
      <c r="K18" s="15">
        <f>IF($B18="","",$J18*$B$9)</f>
        <v/>
      </c>
      <c r="L18" s="16">
        <f>IF($B18="","",$J18+$K18)</f>
        <v/>
      </c>
      <c r="M18" s="16">
        <f>IFERROR(CEILING($L18/(1-$B$11),1),"")</f>
        <v/>
      </c>
      <c r="N18" s="15">
        <f>IFERROR(CEILING($L18*$B$13/(1-$B$11),1),"")</f>
        <v/>
      </c>
      <c r="O18" s="15">
        <f>IFERROR($N18*(1-$B$11)-$L18,"")</f>
        <v/>
      </c>
      <c r="P18" s="17">
        <f>IFERROR($O18/$N18,"")</f>
        <v/>
      </c>
    </row>
    <row r="19">
      <c r="A19" s="10" t="n"/>
      <c r="B19" s="11" t="n"/>
      <c r="C19" s="11" t="n"/>
      <c r="D19" s="11" t="n"/>
      <c r="E19" s="12">
        <f>IF($B19="","",$B19*$B$5/1000)</f>
        <v/>
      </c>
      <c r="F19" s="12">
        <f>IF($B19="","",$C19*$B$7/1000*$B$6)</f>
        <v/>
      </c>
      <c r="G19" s="12">
        <f>IF($B19="","",$B$8)</f>
        <v/>
      </c>
      <c r="H19" s="12">
        <f>IF($B19="","",$C19*$B$10)</f>
        <v/>
      </c>
      <c r="I19" s="12">
        <f>IF($B19="","",$D19/60*$B$12)</f>
        <v/>
      </c>
      <c r="J19" s="12">
        <f>IF($B19="","",SUM($E19:$I19))</f>
        <v/>
      </c>
      <c r="K19" s="12">
        <f>IF($B19="","",$J19*$B$9)</f>
        <v/>
      </c>
      <c r="L19" s="13">
        <f>IF($B19="","",$J19+$K19)</f>
        <v/>
      </c>
      <c r="M19" s="13">
        <f>IFERROR(CEILING($L19/(1-$B$11),1),"")</f>
        <v/>
      </c>
      <c r="N19" s="12">
        <f>IFERROR(CEILING($L19*$B$13/(1-$B$11),1),"")</f>
        <v/>
      </c>
      <c r="O19" s="12">
        <f>IFERROR($N19*(1-$B$11)-$L19,"")</f>
        <v/>
      </c>
      <c r="P19" s="14">
        <f>IFERROR($O19/$N19,"")</f>
        <v/>
      </c>
    </row>
    <row r="20">
      <c r="A20" s="10" t="n"/>
      <c r="B20" s="11" t="n"/>
      <c r="C20" s="11" t="n"/>
      <c r="D20" s="11" t="n"/>
      <c r="E20" s="15">
        <f>IF($B20="","",$B20*$B$5/1000)</f>
        <v/>
      </c>
      <c r="F20" s="15">
        <f>IF($B20="","",$C20*$B$7/1000*$B$6)</f>
        <v/>
      </c>
      <c r="G20" s="15">
        <f>IF($B20="","",$B$8)</f>
        <v/>
      </c>
      <c r="H20" s="15">
        <f>IF($B20="","",$C20*$B$10)</f>
        <v/>
      </c>
      <c r="I20" s="15">
        <f>IF($B20="","",$D20/60*$B$12)</f>
        <v/>
      </c>
      <c r="J20" s="15">
        <f>IF($B20="","",SUM($E20:$I20))</f>
        <v/>
      </c>
      <c r="K20" s="15">
        <f>IF($B20="","",$J20*$B$9)</f>
        <v/>
      </c>
      <c r="L20" s="16">
        <f>IF($B20="","",$J20+$K20)</f>
        <v/>
      </c>
      <c r="M20" s="16">
        <f>IFERROR(CEILING($L20/(1-$B$11),1),"")</f>
        <v/>
      </c>
      <c r="N20" s="15">
        <f>IFERROR(CEILING($L20*$B$13/(1-$B$11),1),"")</f>
        <v/>
      </c>
      <c r="O20" s="15">
        <f>IFERROR($N20*(1-$B$11)-$L20,"")</f>
        <v/>
      </c>
      <c r="P20" s="17">
        <f>IFERROR($O20/$N20,"")</f>
        <v/>
      </c>
    </row>
    <row r="21">
      <c r="A21" s="10" t="n"/>
      <c r="B21" s="11" t="n"/>
      <c r="C21" s="11" t="n"/>
      <c r="D21" s="11" t="n"/>
      <c r="E21" s="12">
        <f>IF($B21="","",$B21*$B$5/1000)</f>
        <v/>
      </c>
      <c r="F21" s="12">
        <f>IF($B21="","",$C21*$B$7/1000*$B$6)</f>
        <v/>
      </c>
      <c r="G21" s="12">
        <f>IF($B21="","",$B$8)</f>
        <v/>
      </c>
      <c r="H21" s="12">
        <f>IF($B21="","",$C21*$B$10)</f>
        <v/>
      </c>
      <c r="I21" s="12">
        <f>IF($B21="","",$D21/60*$B$12)</f>
        <v/>
      </c>
      <c r="J21" s="12">
        <f>IF($B21="","",SUM($E21:$I21))</f>
        <v/>
      </c>
      <c r="K21" s="12">
        <f>IF($B21="","",$J21*$B$9)</f>
        <v/>
      </c>
      <c r="L21" s="13">
        <f>IF($B21="","",$J21+$K21)</f>
        <v/>
      </c>
      <c r="M21" s="13">
        <f>IFERROR(CEILING($L21/(1-$B$11),1),"")</f>
        <v/>
      </c>
      <c r="N21" s="12">
        <f>IFERROR(CEILING($L21*$B$13/(1-$B$11),1),"")</f>
        <v/>
      </c>
      <c r="O21" s="12">
        <f>IFERROR($N21*(1-$B$11)-$L21,"")</f>
        <v/>
      </c>
      <c r="P21" s="14">
        <f>IFERROR($O21/$N21,"")</f>
        <v/>
      </c>
    </row>
    <row r="22">
      <c r="A22" s="10" t="n"/>
      <c r="B22" s="11" t="n"/>
      <c r="C22" s="11" t="n"/>
      <c r="D22" s="11" t="n"/>
      <c r="E22" s="15">
        <f>IF($B22="","",$B22*$B$5/1000)</f>
        <v/>
      </c>
      <c r="F22" s="15">
        <f>IF($B22="","",$C22*$B$7/1000*$B$6)</f>
        <v/>
      </c>
      <c r="G22" s="15">
        <f>IF($B22="","",$B$8)</f>
        <v/>
      </c>
      <c r="H22" s="15">
        <f>IF($B22="","",$C22*$B$10)</f>
        <v/>
      </c>
      <c r="I22" s="15">
        <f>IF($B22="","",$D22/60*$B$12)</f>
        <v/>
      </c>
      <c r="J22" s="15">
        <f>IF($B22="","",SUM($E22:$I22))</f>
        <v/>
      </c>
      <c r="K22" s="15">
        <f>IF($B22="","",$J22*$B$9)</f>
        <v/>
      </c>
      <c r="L22" s="16">
        <f>IF($B22="","",$J22+$K22)</f>
        <v/>
      </c>
      <c r="M22" s="16">
        <f>IFERROR(CEILING($L22/(1-$B$11),1),"")</f>
        <v/>
      </c>
      <c r="N22" s="15">
        <f>IFERROR(CEILING($L22*$B$13/(1-$B$11),1),"")</f>
        <v/>
      </c>
      <c r="O22" s="15">
        <f>IFERROR($N22*(1-$B$11)-$L22,"")</f>
        <v/>
      </c>
      <c r="P22" s="17">
        <f>IFERROR($O22/$N22,"")</f>
        <v/>
      </c>
    </row>
    <row r="23">
      <c r="A23" s="10" t="n"/>
      <c r="B23" s="11" t="n"/>
      <c r="C23" s="11" t="n"/>
      <c r="D23" s="11" t="n"/>
      <c r="E23" s="12">
        <f>IF($B23="","",$B23*$B$5/1000)</f>
        <v/>
      </c>
      <c r="F23" s="12">
        <f>IF($B23="","",$C23*$B$7/1000*$B$6)</f>
        <v/>
      </c>
      <c r="G23" s="12">
        <f>IF($B23="","",$B$8)</f>
        <v/>
      </c>
      <c r="H23" s="12">
        <f>IF($B23="","",$C23*$B$10)</f>
        <v/>
      </c>
      <c r="I23" s="12">
        <f>IF($B23="","",$D23/60*$B$12)</f>
        <v/>
      </c>
      <c r="J23" s="12">
        <f>IF($B23="","",SUM($E23:$I23))</f>
        <v/>
      </c>
      <c r="K23" s="12">
        <f>IF($B23="","",$J23*$B$9)</f>
        <v/>
      </c>
      <c r="L23" s="13">
        <f>IF($B23="","",$J23+$K23)</f>
        <v/>
      </c>
      <c r="M23" s="13">
        <f>IFERROR(CEILING($L23/(1-$B$11),1),"")</f>
        <v/>
      </c>
      <c r="N23" s="12">
        <f>IFERROR(CEILING($L23*$B$13/(1-$B$11),1),"")</f>
        <v/>
      </c>
      <c r="O23" s="12">
        <f>IFERROR($N23*(1-$B$11)-$L23,"")</f>
        <v/>
      </c>
      <c r="P23" s="14">
        <f>IFERROR($O23/$N23,"")</f>
        <v/>
      </c>
    </row>
    <row r="24">
      <c r="A24" s="10" t="n"/>
      <c r="B24" s="11" t="n"/>
      <c r="C24" s="11" t="n"/>
      <c r="D24" s="11" t="n"/>
      <c r="E24" s="15">
        <f>IF($B24="","",$B24*$B$5/1000)</f>
        <v/>
      </c>
      <c r="F24" s="15">
        <f>IF($B24="","",$C24*$B$7/1000*$B$6)</f>
        <v/>
      </c>
      <c r="G24" s="15">
        <f>IF($B24="","",$B$8)</f>
        <v/>
      </c>
      <c r="H24" s="15">
        <f>IF($B24="","",$C24*$B$10)</f>
        <v/>
      </c>
      <c r="I24" s="15">
        <f>IF($B24="","",$D24/60*$B$12)</f>
        <v/>
      </c>
      <c r="J24" s="15">
        <f>IF($B24="","",SUM($E24:$I24))</f>
        <v/>
      </c>
      <c r="K24" s="15">
        <f>IF($B24="","",$J24*$B$9)</f>
        <v/>
      </c>
      <c r="L24" s="16">
        <f>IF($B24="","",$J24+$K24)</f>
        <v/>
      </c>
      <c r="M24" s="16">
        <f>IFERROR(CEILING($L24/(1-$B$11),1),"")</f>
        <v/>
      </c>
      <c r="N24" s="15">
        <f>IFERROR(CEILING($L24*$B$13/(1-$B$11),1),"")</f>
        <v/>
      </c>
      <c r="O24" s="15">
        <f>IFERROR($N24*(1-$B$11)-$L24,"")</f>
        <v/>
      </c>
      <c r="P24" s="17">
        <f>IFERROR($O24/$N24,"")</f>
        <v/>
      </c>
    </row>
    <row r="25">
      <c r="A25" s="10" t="n"/>
      <c r="B25" s="11" t="n"/>
      <c r="C25" s="11" t="n"/>
      <c r="D25" s="11" t="n"/>
      <c r="E25" s="12">
        <f>IF($B25="","",$B25*$B$5/1000)</f>
        <v/>
      </c>
      <c r="F25" s="12">
        <f>IF($B25="","",$C25*$B$7/1000*$B$6)</f>
        <v/>
      </c>
      <c r="G25" s="12">
        <f>IF($B25="","",$B$8)</f>
        <v/>
      </c>
      <c r="H25" s="12">
        <f>IF($B25="","",$C25*$B$10)</f>
        <v/>
      </c>
      <c r="I25" s="12">
        <f>IF($B25="","",$D25/60*$B$12)</f>
        <v/>
      </c>
      <c r="J25" s="12">
        <f>IF($B25="","",SUM($E25:$I25))</f>
        <v/>
      </c>
      <c r="K25" s="12">
        <f>IF($B25="","",$J25*$B$9)</f>
        <v/>
      </c>
      <c r="L25" s="13">
        <f>IF($B25="","",$J25+$K25)</f>
        <v/>
      </c>
      <c r="M25" s="13">
        <f>IFERROR(CEILING($L25/(1-$B$11),1),"")</f>
        <v/>
      </c>
      <c r="N25" s="12">
        <f>IFERROR(CEILING($L25*$B$13/(1-$B$11),1),"")</f>
        <v/>
      </c>
      <c r="O25" s="12">
        <f>IFERROR($N25*(1-$B$11)-$L25,"")</f>
        <v/>
      </c>
      <c r="P25" s="14">
        <f>IFERROR($O25/$N25,"")</f>
        <v/>
      </c>
    </row>
    <row r="26">
      <c r="A26" s="10" t="n"/>
      <c r="B26" s="11" t="n"/>
      <c r="C26" s="11" t="n"/>
      <c r="D26" s="11" t="n"/>
      <c r="E26" s="15">
        <f>IF($B26="","",$B26*$B$5/1000)</f>
        <v/>
      </c>
      <c r="F26" s="15">
        <f>IF($B26="","",$C26*$B$7/1000*$B$6)</f>
        <v/>
      </c>
      <c r="G26" s="15">
        <f>IF($B26="","",$B$8)</f>
        <v/>
      </c>
      <c r="H26" s="15">
        <f>IF($B26="","",$C26*$B$10)</f>
        <v/>
      </c>
      <c r="I26" s="15">
        <f>IF($B26="","",$D26/60*$B$12)</f>
        <v/>
      </c>
      <c r="J26" s="15">
        <f>IF($B26="","",SUM($E26:$I26))</f>
        <v/>
      </c>
      <c r="K26" s="15">
        <f>IF($B26="","",$J26*$B$9)</f>
        <v/>
      </c>
      <c r="L26" s="16">
        <f>IF($B26="","",$J26+$K26)</f>
        <v/>
      </c>
      <c r="M26" s="16">
        <f>IFERROR(CEILING($L26/(1-$B$11),1),"")</f>
        <v/>
      </c>
      <c r="N26" s="15">
        <f>IFERROR(CEILING($L26*$B$13/(1-$B$11),1),"")</f>
        <v/>
      </c>
      <c r="O26" s="15">
        <f>IFERROR($N26*(1-$B$11)-$L26,"")</f>
        <v/>
      </c>
      <c r="P26" s="17">
        <f>IFERROR($O26/$N26,"")</f>
        <v/>
      </c>
    </row>
    <row r="27">
      <c r="A27" s="10" t="n"/>
      <c r="B27" s="11" t="n"/>
      <c r="C27" s="11" t="n"/>
      <c r="D27" s="11" t="n"/>
      <c r="E27" s="12">
        <f>IF($B27="","",$B27*$B$5/1000)</f>
        <v/>
      </c>
      <c r="F27" s="12">
        <f>IF($B27="","",$C27*$B$7/1000*$B$6)</f>
        <v/>
      </c>
      <c r="G27" s="12">
        <f>IF($B27="","",$B$8)</f>
        <v/>
      </c>
      <c r="H27" s="12">
        <f>IF($B27="","",$C27*$B$10)</f>
        <v/>
      </c>
      <c r="I27" s="12">
        <f>IF($B27="","",$D27/60*$B$12)</f>
        <v/>
      </c>
      <c r="J27" s="12">
        <f>IF($B27="","",SUM($E27:$I27))</f>
        <v/>
      </c>
      <c r="K27" s="12">
        <f>IF($B27="","",$J27*$B$9)</f>
        <v/>
      </c>
      <c r="L27" s="13">
        <f>IF($B27="","",$J27+$K27)</f>
        <v/>
      </c>
      <c r="M27" s="13">
        <f>IFERROR(CEILING($L27/(1-$B$11),1),"")</f>
        <v/>
      </c>
      <c r="N27" s="12">
        <f>IFERROR(CEILING($L27*$B$13/(1-$B$11),1),"")</f>
        <v/>
      </c>
      <c r="O27" s="12">
        <f>IFERROR($N27*(1-$B$11)-$L27,"")</f>
        <v/>
      </c>
      <c r="P27" s="14">
        <f>IFERROR($O27/$N27,"")</f>
        <v/>
      </c>
    </row>
    <row r="28">
      <c r="A28" s="10" t="n"/>
      <c r="B28" s="11" t="n"/>
      <c r="C28" s="11" t="n"/>
      <c r="D28" s="11" t="n"/>
      <c r="E28" s="15">
        <f>IF($B28="","",$B28*$B$5/1000)</f>
        <v/>
      </c>
      <c r="F28" s="15">
        <f>IF($B28="","",$C28*$B$7/1000*$B$6)</f>
        <v/>
      </c>
      <c r="G28" s="15">
        <f>IF($B28="","",$B$8)</f>
        <v/>
      </c>
      <c r="H28" s="15">
        <f>IF($B28="","",$C28*$B$10)</f>
        <v/>
      </c>
      <c r="I28" s="15">
        <f>IF($B28="","",$D28/60*$B$12)</f>
        <v/>
      </c>
      <c r="J28" s="15">
        <f>IF($B28="","",SUM($E28:$I28))</f>
        <v/>
      </c>
      <c r="K28" s="15">
        <f>IF($B28="","",$J28*$B$9)</f>
        <v/>
      </c>
      <c r="L28" s="16">
        <f>IF($B28="","",$J28+$K28)</f>
        <v/>
      </c>
      <c r="M28" s="16">
        <f>IFERROR(CEILING($L28/(1-$B$11),1),"")</f>
        <v/>
      </c>
      <c r="N28" s="15">
        <f>IFERROR(CEILING($L28*$B$13/(1-$B$11),1),"")</f>
        <v/>
      </c>
      <c r="O28" s="15">
        <f>IFERROR($N28*(1-$B$11)-$L28,"")</f>
        <v/>
      </c>
      <c r="P28" s="17">
        <f>IFERROR($O28/$N28,"")</f>
        <v/>
      </c>
    </row>
    <row r="29">
      <c r="A29" s="10" t="n"/>
      <c r="B29" s="11" t="n"/>
      <c r="C29" s="11" t="n"/>
      <c r="D29" s="11" t="n"/>
      <c r="E29" s="12">
        <f>IF($B29="","",$B29*$B$5/1000)</f>
        <v/>
      </c>
      <c r="F29" s="12">
        <f>IF($B29="","",$C29*$B$7/1000*$B$6)</f>
        <v/>
      </c>
      <c r="G29" s="12">
        <f>IF($B29="","",$B$8)</f>
        <v/>
      </c>
      <c r="H29" s="12">
        <f>IF($B29="","",$C29*$B$10)</f>
        <v/>
      </c>
      <c r="I29" s="12">
        <f>IF($B29="","",$D29/60*$B$12)</f>
        <v/>
      </c>
      <c r="J29" s="12">
        <f>IF($B29="","",SUM($E29:$I29))</f>
        <v/>
      </c>
      <c r="K29" s="12">
        <f>IF($B29="","",$J29*$B$9)</f>
        <v/>
      </c>
      <c r="L29" s="13">
        <f>IF($B29="","",$J29+$K29)</f>
        <v/>
      </c>
      <c r="M29" s="13">
        <f>IFERROR(CEILING($L29/(1-$B$11),1),"")</f>
        <v/>
      </c>
      <c r="N29" s="12">
        <f>IFERROR(CEILING($L29*$B$13/(1-$B$11),1),"")</f>
        <v/>
      </c>
      <c r="O29" s="12">
        <f>IFERROR($N29*(1-$B$11)-$L29,"")</f>
        <v/>
      </c>
      <c r="P29" s="14">
        <f>IFERROR($O29/$N29,"")</f>
        <v/>
      </c>
    </row>
    <row r="30">
      <c r="A30" s="10" t="n"/>
      <c r="B30" s="11" t="n"/>
      <c r="C30" s="11" t="n"/>
      <c r="D30" s="11" t="n"/>
      <c r="E30" s="15">
        <f>IF($B30="","",$B30*$B$5/1000)</f>
        <v/>
      </c>
      <c r="F30" s="15">
        <f>IF($B30="","",$C30*$B$7/1000*$B$6)</f>
        <v/>
      </c>
      <c r="G30" s="15">
        <f>IF($B30="","",$B$8)</f>
        <v/>
      </c>
      <c r="H30" s="15">
        <f>IF($B30="","",$C30*$B$10)</f>
        <v/>
      </c>
      <c r="I30" s="15">
        <f>IF($B30="","",$D30/60*$B$12)</f>
        <v/>
      </c>
      <c r="J30" s="15">
        <f>IF($B30="","",SUM($E30:$I30))</f>
        <v/>
      </c>
      <c r="K30" s="15">
        <f>IF($B30="","",$J30*$B$9)</f>
        <v/>
      </c>
      <c r="L30" s="16">
        <f>IF($B30="","",$J30+$K30)</f>
        <v/>
      </c>
      <c r="M30" s="16">
        <f>IFERROR(CEILING($L30/(1-$B$11),1),"")</f>
        <v/>
      </c>
      <c r="N30" s="15">
        <f>IFERROR(CEILING($L30*$B$13/(1-$B$11),1),"")</f>
        <v/>
      </c>
      <c r="O30" s="15">
        <f>IFERROR($N30*(1-$B$11)-$L30,"")</f>
        <v/>
      </c>
      <c r="P30" s="17">
        <f>IFERROR($O30/$N30,"")</f>
        <v/>
      </c>
    </row>
    <row r="31">
      <c r="A31" s="10" t="n"/>
      <c r="B31" s="11" t="n"/>
      <c r="C31" s="11" t="n"/>
      <c r="D31" s="11" t="n"/>
      <c r="E31" s="12">
        <f>IF($B31="","",$B31*$B$5/1000)</f>
        <v/>
      </c>
      <c r="F31" s="12">
        <f>IF($B31="","",$C31*$B$7/1000*$B$6)</f>
        <v/>
      </c>
      <c r="G31" s="12">
        <f>IF($B31="","",$B$8)</f>
        <v/>
      </c>
      <c r="H31" s="12">
        <f>IF($B31="","",$C31*$B$10)</f>
        <v/>
      </c>
      <c r="I31" s="12">
        <f>IF($B31="","",$D31/60*$B$12)</f>
        <v/>
      </c>
      <c r="J31" s="12">
        <f>IF($B31="","",SUM($E31:$I31))</f>
        <v/>
      </c>
      <c r="K31" s="12">
        <f>IF($B31="","",$J31*$B$9)</f>
        <v/>
      </c>
      <c r="L31" s="13">
        <f>IF($B31="","",$J31+$K31)</f>
        <v/>
      </c>
      <c r="M31" s="13">
        <f>IFERROR(CEILING($L31/(1-$B$11),1),"")</f>
        <v/>
      </c>
      <c r="N31" s="12">
        <f>IFERROR(CEILING($L31*$B$13/(1-$B$11),1),"")</f>
        <v/>
      </c>
      <c r="O31" s="12">
        <f>IFERROR($N31*(1-$B$11)-$L31,"")</f>
        <v/>
      </c>
      <c r="P31" s="14">
        <f>IFERROR($O31/$N31,"")</f>
        <v/>
      </c>
    </row>
    <row r="32">
      <c r="A32" s="10" t="n"/>
      <c r="B32" s="11" t="n"/>
      <c r="C32" s="11" t="n"/>
      <c r="D32" s="11" t="n"/>
      <c r="E32" s="15">
        <f>IF($B32="","",$B32*$B$5/1000)</f>
        <v/>
      </c>
      <c r="F32" s="15">
        <f>IF($B32="","",$C32*$B$7/1000*$B$6)</f>
        <v/>
      </c>
      <c r="G32" s="15">
        <f>IF($B32="","",$B$8)</f>
        <v/>
      </c>
      <c r="H32" s="15">
        <f>IF($B32="","",$C32*$B$10)</f>
        <v/>
      </c>
      <c r="I32" s="15">
        <f>IF($B32="","",$D32/60*$B$12)</f>
        <v/>
      </c>
      <c r="J32" s="15">
        <f>IF($B32="","",SUM($E32:$I32))</f>
        <v/>
      </c>
      <c r="K32" s="15">
        <f>IF($B32="","",$J32*$B$9)</f>
        <v/>
      </c>
      <c r="L32" s="16">
        <f>IF($B32="","",$J32+$K32)</f>
        <v/>
      </c>
      <c r="M32" s="16">
        <f>IFERROR(CEILING($L32/(1-$B$11),1),"")</f>
        <v/>
      </c>
      <c r="N32" s="15">
        <f>IFERROR(CEILING($L32*$B$13/(1-$B$11),1),"")</f>
        <v/>
      </c>
      <c r="O32" s="15">
        <f>IFERROR($N32*(1-$B$11)-$L32,"")</f>
        <v/>
      </c>
      <c r="P32" s="17">
        <f>IFERROR($O32/$N32,"")</f>
        <v/>
      </c>
    </row>
    <row r="33">
      <c r="A33" s="10" t="n"/>
      <c r="B33" s="11" t="n"/>
      <c r="C33" s="11" t="n"/>
      <c r="D33" s="11" t="n"/>
      <c r="E33" s="12">
        <f>IF($B33="","",$B33*$B$5/1000)</f>
        <v/>
      </c>
      <c r="F33" s="12">
        <f>IF($B33="","",$C33*$B$7/1000*$B$6)</f>
        <v/>
      </c>
      <c r="G33" s="12">
        <f>IF($B33="","",$B$8)</f>
        <v/>
      </c>
      <c r="H33" s="12">
        <f>IF($B33="","",$C33*$B$10)</f>
        <v/>
      </c>
      <c r="I33" s="12">
        <f>IF($B33="","",$D33/60*$B$12)</f>
        <v/>
      </c>
      <c r="J33" s="12">
        <f>IF($B33="","",SUM($E33:$I33))</f>
        <v/>
      </c>
      <c r="K33" s="12">
        <f>IF($B33="","",$J33*$B$9)</f>
        <v/>
      </c>
      <c r="L33" s="13">
        <f>IF($B33="","",$J33+$K33)</f>
        <v/>
      </c>
      <c r="M33" s="13">
        <f>IFERROR(CEILING($L33/(1-$B$11),1),"")</f>
        <v/>
      </c>
      <c r="N33" s="12">
        <f>IFERROR(CEILING($L33*$B$13/(1-$B$11),1),"")</f>
        <v/>
      </c>
      <c r="O33" s="12">
        <f>IFERROR($N33*(1-$B$11)-$L33,"")</f>
        <v/>
      </c>
      <c r="P33" s="14">
        <f>IFERROR($O33/$N33,"")</f>
        <v/>
      </c>
    </row>
    <row r="34">
      <c r="A34" s="10" t="n"/>
      <c r="B34" s="11" t="n"/>
      <c r="C34" s="11" t="n"/>
      <c r="D34" s="11" t="n"/>
      <c r="E34" s="15">
        <f>IF($B34="","",$B34*$B$5/1000)</f>
        <v/>
      </c>
      <c r="F34" s="15">
        <f>IF($B34="","",$C34*$B$7/1000*$B$6)</f>
        <v/>
      </c>
      <c r="G34" s="15">
        <f>IF($B34="","",$B$8)</f>
        <v/>
      </c>
      <c r="H34" s="15">
        <f>IF($B34="","",$C34*$B$10)</f>
        <v/>
      </c>
      <c r="I34" s="15">
        <f>IF($B34="","",$D34/60*$B$12)</f>
        <v/>
      </c>
      <c r="J34" s="15">
        <f>IF($B34="","",SUM($E34:$I34))</f>
        <v/>
      </c>
      <c r="K34" s="15">
        <f>IF($B34="","",$J34*$B$9)</f>
        <v/>
      </c>
      <c r="L34" s="16">
        <f>IF($B34="","",$J34+$K34)</f>
        <v/>
      </c>
      <c r="M34" s="16">
        <f>IFERROR(CEILING($L34/(1-$B$11),1),"")</f>
        <v/>
      </c>
      <c r="N34" s="15">
        <f>IFERROR(CEILING($L34*$B$13/(1-$B$11),1),"")</f>
        <v/>
      </c>
      <c r="O34" s="15">
        <f>IFERROR($N34*(1-$B$11)-$L34,"")</f>
        <v/>
      </c>
      <c r="P34" s="17">
        <f>IFERROR($O34/$N34,"")</f>
        <v/>
      </c>
    </row>
    <row r="35">
      <c r="A35" s="10" t="n"/>
      <c r="B35" s="11" t="n"/>
      <c r="C35" s="11" t="n"/>
      <c r="D35" s="11" t="n"/>
      <c r="E35" s="12">
        <f>IF($B35="","",$B35*$B$5/1000)</f>
        <v/>
      </c>
      <c r="F35" s="12">
        <f>IF($B35="","",$C35*$B$7/1000*$B$6)</f>
        <v/>
      </c>
      <c r="G35" s="12">
        <f>IF($B35="","",$B$8)</f>
        <v/>
      </c>
      <c r="H35" s="12">
        <f>IF($B35="","",$C35*$B$10)</f>
        <v/>
      </c>
      <c r="I35" s="12">
        <f>IF($B35="","",$D35/60*$B$12)</f>
        <v/>
      </c>
      <c r="J35" s="12">
        <f>IF($B35="","",SUM($E35:$I35))</f>
        <v/>
      </c>
      <c r="K35" s="12">
        <f>IF($B35="","",$J35*$B$9)</f>
        <v/>
      </c>
      <c r="L35" s="13">
        <f>IF($B35="","",$J35+$K35)</f>
        <v/>
      </c>
      <c r="M35" s="13">
        <f>IFERROR(CEILING($L35/(1-$B$11),1),"")</f>
        <v/>
      </c>
      <c r="N35" s="12">
        <f>IFERROR(CEILING($L35*$B$13/(1-$B$11),1),"")</f>
        <v/>
      </c>
      <c r="O35" s="12">
        <f>IFERROR($N35*(1-$B$11)-$L35,"")</f>
        <v/>
      </c>
      <c r="P35" s="14">
        <f>IFERROR($O35/$N35,"")</f>
        <v/>
      </c>
    </row>
    <row r="36">
      <c r="A36" s="10" t="n"/>
      <c r="B36" s="11" t="n"/>
      <c r="C36" s="11" t="n"/>
      <c r="D36" s="11" t="n"/>
      <c r="E36" s="15">
        <f>IF($B36="","",$B36*$B$5/1000)</f>
        <v/>
      </c>
      <c r="F36" s="15">
        <f>IF($B36="","",$C36*$B$7/1000*$B$6)</f>
        <v/>
      </c>
      <c r="G36" s="15">
        <f>IF($B36="","",$B$8)</f>
        <v/>
      </c>
      <c r="H36" s="15">
        <f>IF($B36="","",$C36*$B$10)</f>
        <v/>
      </c>
      <c r="I36" s="15">
        <f>IF($B36="","",$D36/60*$B$12)</f>
        <v/>
      </c>
      <c r="J36" s="15">
        <f>IF($B36="","",SUM($E36:$I36))</f>
        <v/>
      </c>
      <c r="K36" s="15">
        <f>IF($B36="","",$J36*$B$9)</f>
        <v/>
      </c>
      <c r="L36" s="16">
        <f>IF($B36="","",$J36+$K36)</f>
        <v/>
      </c>
      <c r="M36" s="16">
        <f>IFERROR(CEILING($L36/(1-$B$11),1),"")</f>
        <v/>
      </c>
      <c r="N36" s="15">
        <f>IFERROR(CEILING($L36*$B$13/(1-$B$11),1),"")</f>
        <v/>
      </c>
      <c r="O36" s="15">
        <f>IFERROR($N36*(1-$B$11)-$L36,"")</f>
        <v/>
      </c>
      <c r="P36" s="17">
        <f>IFERROR($O36/$N36,"")</f>
        <v/>
      </c>
    </row>
    <row r="37">
      <c r="A37" s="10" t="n"/>
      <c r="B37" s="11" t="n"/>
      <c r="C37" s="11" t="n"/>
      <c r="D37" s="11" t="n"/>
      <c r="E37" s="12">
        <f>IF($B37="","",$B37*$B$5/1000)</f>
        <v/>
      </c>
      <c r="F37" s="12">
        <f>IF($B37="","",$C37*$B$7/1000*$B$6)</f>
        <v/>
      </c>
      <c r="G37" s="12">
        <f>IF($B37="","",$B$8)</f>
        <v/>
      </c>
      <c r="H37" s="12">
        <f>IF($B37="","",$C37*$B$10)</f>
        <v/>
      </c>
      <c r="I37" s="12">
        <f>IF($B37="","",$D37/60*$B$12)</f>
        <v/>
      </c>
      <c r="J37" s="12">
        <f>IF($B37="","",SUM($E37:$I37))</f>
        <v/>
      </c>
      <c r="K37" s="12">
        <f>IF($B37="","",$J37*$B$9)</f>
        <v/>
      </c>
      <c r="L37" s="13">
        <f>IF($B37="","",$J37+$K37)</f>
        <v/>
      </c>
      <c r="M37" s="13">
        <f>IFERROR(CEILING($L37/(1-$B$11),1),"")</f>
        <v/>
      </c>
      <c r="N37" s="12">
        <f>IFERROR(CEILING($L37*$B$13/(1-$B$11),1),"")</f>
        <v/>
      </c>
      <c r="O37" s="12">
        <f>IFERROR($N37*(1-$B$11)-$L37,"")</f>
        <v/>
      </c>
      <c r="P37" s="14">
        <f>IFERROR($O37/$N37,"")</f>
        <v/>
      </c>
    </row>
    <row r="38">
      <c r="A38" s="10" t="n"/>
      <c r="B38" s="11" t="n"/>
      <c r="C38" s="11" t="n"/>
      <c r="D38" s="11" t="n"/>
      <c r="E38" s="15">
        <f>IF($B38="","",$B38*$B$5/1000)</f>
        <v/>
      </c>
      <c r="F38" s="15">
        <f>IF($B38="","",$C38*$B$7/1000*$B$6)</f>
        <v/>
      </c>
      <c r="G38" s="15">
        <f>IF($B38="","",$B$8)</f>
        <v/>
      </c>
      <c r="H38" s="15">
        <f>IF($B38="","",$C38*$B$10)</f>
        <v/>
      </c>
      <c r="I38" s="15">
        <f>IF($B38="","",$D38/60*$B$12)</f>
        <v/>
      </c>
      <c r="J38" s="15">
        <f>IF($B38="","",SUM($E38:$I38))</f>
        <v/>
      </c>
      <c r="K38" s="15">
        <f>IF($B38="","",$J38*$B$9)</f>
        <v/>
      </c>
      <c r="L38" s="16">
        <f>IF($B38="","",$J38+$K38)</f>
        <v/>
      </c>
      <c r="M38" s="16">
        <f>IFERROR(CEILING($L38/(1-$B$11),1),"")</f>
        <v/>
      </c>
      <c r="N38" s="15">
        <f>IFERROR(CEILING($L38*$B$13/(1-$B$11),1),"")</f>
        <v/>
      </c>
      <c r="O38" s="15">
        <f>IFERROR($N38*(1-$B$11)-$L38,"")</f>
        <v/>
      </c>
      <c r="P38" s="17">
        <f>IFERROR($O38/$N38,"")</f>
        <v/>
      </c>
    </row>
    <row r="39">
      <c r="A39" s="10" t="n"/>
      <c r="B39" s="11" t="n"/>
      <c r="C39" s="11" t="n"/>
      <c r="D39" s="11" t="n"/>
      <c r="E39" s="12">
        <f>IF($B39="","",$B39*$B$5/1000)</f>
        <v/>
      </c>
      <c r="F39" s="12">
        <f>IF($B39="","",$C39*$B$7/1000*$B$6)</f>
        <v/>
      </c>
      <c r="G39" s="12">
        <f>IF($B39="","",$B$8)</f>
        <v/>
      </c>
      <c r="H39" s="12">
        <f>IF($B39="","",$C39*$B$10)</f>
        <v/>
      </c>
      <c r="I39" s="12">
        <f>IF($B39="","",$D39/60*$B$12)</f>
        <v/>
      </c>
      <c r="J39" s="12">
        <f>IF($B39="","",SUM($E39:$I39))</f>
        <v/>
      </c>
      <c r="K39" s="12">
        <f>IF($B39="","",$J39*$B$9)</f>
        <v/>
      </c>
      <c r="L39" s="13">
        <f>IF($B39="","",$J39+$K39)</f>
        <v/>
      </c>
      <c r="M39" s="13">
        <f>IFERROR(CEILING($L39/(1-$B$11),1),"")</f>
        <v/>
      </c>
      <c r="N39" s="12">
        <f>IFERROR(CEILING($L39*$B$13/(1-$B$11),1),"")</f>
        <v/>
      </c>
      <c r="O39" s="12">
        <f>IFERROR($N39*(1-$B$11)-$L39,"")</f>
        <v/>
      </c>
      <c r="P39" s="14">
        <f>IFERROR($O39/$N39,"")</f>
        <v/>
      </c>
    </row>
    <row r="40">
      <c r="A40" s="10" t="n"/>
      <c r="B40" s="11" t="n"/>
      <c r="C40" s="11" t="n"/>
      <c r="D40" s="11" t="n"/>
      <c r="E40" s="15">
        <f>IF($B40="","",$B40*$B$5/1000)</f>
        <v/>
      </c>
      <c r="F40" s="15">
        <f>IF($B40="","",$C40*$B$7/1000*$B$6)</f>
        <v/>
      </c>
      <c r="G40" s="15">
        <f>IF($B40="","",$B$8)</f>
        <v/>
      </c>
      <c r="H40" s="15">
        <f>IF($B40="","",$C40*$B$10)</f>
        <v/>
      </c>
      <c r="I40" s="15">
        <f>IF($B40="","",$D40/60*$B$12)</f>
        <v/>
      </c>
      <c r="J40" s="15">
        <f>IF($B40="","",SUM($E40:$I40))</f>
        <v/>
      </c>
      <c r="K40" s="15">
        <f>IF($B40="","",$J40*$B$9)</f>
        <v/>
      </c>
      <c r="L40" s="16">
        <f>IF($B40="","",$J40+$K40)</f>
        <v/>
      </c>
      <c r="M40" s="16">
        <f>IFERROR(CEILING($L40/(1-$B$11),1),"")</f>
        <v/>
      </c>
      <c r="N40" s="15">
        <f>IFERROR(CEILING($L40*$B$13/(1-$B$11),1),"")</f>
        <v/>
      </c>
      <c r="O40" s="15">
        <f>IFERROR($N40*(1-$B$11)-$L40,"")</f>
        <v/>
      </c>
      <c r="P40" s="17">
        <f>IFERROR($O40/$N40,"")</f>
        <v/>
      </c>
    </row>
    <row r="42">
      <c r="A42" s="3" t="inlineStr">
        <is>
          <t>LEGENDA</t>
        </is>
      </c>
    </row>
    <row r="43">
      <c r="A43" s="2" t="inlineStr">
        <is>
          <t>• Células amarelas com texto azul = você preenche. Todo o resto é fórmula, não edite.</t>
        </is>
      </c>
    </row>
    <row r="44">
      <c r="A44" s="2" t="inlineStr">
        <is>
          <t>• LANCE MÍNIMO (col. M) = o valor abaixo do qual você trabalha de graça. Nunca abra lance abaixo disso.</t>
        </is>
      </c>
    </row>
    <row r="45">
      <c r="A45" s="2" t="inlineStr">
        <is>
          <t>• Preço-alvo (col. N) = preço justo de catálogo, já com o multiplicador e a comissão embutidos.</t>
        </is>
      </c>
    </row>
    <row r="46">
      <c r="A46" s="2" t="inlineStr">
        <is>
          <t>• Lucro e margem consideram a comissão do marketplace, mas NÃO o frete — lance o frete na aba Registro de Vendas.</t>
        </is>
      </c>
    </row>
    <row r="47">
      <c r="A47" s="2" t="inlineStr">
        <is>
          <t>• A linha de exemplo é só um modelo de formato: apague e coloque as suas peças.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1" customWidth="1" min="5" max="5"/>
    <col width="13" customWidth="1" min="6" max="6"/>
    <col width="17" customWidth="1" min="7" max="7"/>
    <col width="12" customWidth="1" min="8" max="8"/>
  </cols>
  <sheetData>
    <row r="1">
      <c r="A1" s="1" t="inlineStr">
        <is>
          <t>Registro de Vendas — o que cada peça realmente fechou</t>
        </is>
      </c>
    </row>
    <row r="2">
      <c r="A2" s="2" t="inlineStr">
        <is>
          <t>Preencha após cada live. O custo é puxado da aba Custo por Peca pelo nome da peça (escreva igual).</t>
        </is>
      </c>
    </row>
    <row r="4" ht="30" customHeight="1">
      <c r="A4" s="9" t="inlineStr">
        <is>
          <t>Data</t>
        </is>
      </c>
      <c r="B4" s="9" t="inlineStr">
        <is>
          <t>Peça</t>
        </is>
      </c>
      <c r="C4" s="9" t="inlineStr">
        <is>
          <t>Canal</t>
        </is>
      </c>
      <c r="D4" s="9" t="inlineStr">
        <is>
          <t>Preço final</t>
        </is>
      </c>
      <c r="E4" s="9" t="inlineStr">
        <is>
          <t>Comissão</t>
        </is>
      </c>
      <c r="F4" s="9" t="inlineStr">
        <is>
          <t>Custo da peça</t>
        </is>
      </c>
      <c r="G4" s="9" t="inlineStr">
        <is>
          <t>Frete que eu paguei</t>
        </is>
      </c>
      <c r="H4" s="9" t="inlineStr">
        <is>
          <t>LUCRO</t>
        </is>
      </c>
    </row>
    <row r="5">
      <c r="A5" s="18" t="inlineStr">
        <is>
          <t>09/09/2026</t>
        </is>
      </c>
      <c r="B5" s="10" t="inlineStr">
        <is>
          <t>Dragão articulado M (exemplo)</t>
        </is>
      </c>
      <c r="C5" s="10" t="inlineStr">
        <is>
          <t>Live TikTok</t>
        </is>
      </c>
      <c r="D5" s="19" t="n">
        <v>89</v>
      </c>
      <c r="E5" s="12">
        <f>IF($D5="","",$D5*'Custo por Peca'!$B$11)</f>
        <v/>
      </c>
      <c r="F5" s="12">
        <f>IFERROR(INDEX('Custo por Peca'!$L$17:$L$40,MATCH($B5,'Custo por Peca'!$A$17:$A$40,0)),"")</f>
        <v/>
      </c>
      <c r="G5" s="19" t="n">
        <v>0</v>
      </c>
      <c r="H5" s="13">
        <f>IF($D5="","",$D5-$E5-IF($F5="",0,$F5)-IF($G5="",0,$G5))</f>
        <v/>
      </c>
    </row>
    <row r="6">
      <c r="A6" s="18" t="n"/>
      <c r="B6" s="10" t="n"/>
      <c r="C6" s="10" t="n"/>
      <c r="D6" s="19" t="n"/>
      <c r="E6" s="15">
        <f>IF($D6="","",$D6*'Custo por Peca'!$B$11)</f>
        <v/>
      </c>
      <c r="F6" s="15">
        <f>IFERROR(INDEX('Custo por Peca'!$L$17:$L$40,MATCH($B6,'Custo por Peca'!$A$17:$A$40,0)),"")</f>
        <v/>
      </c>
      <c r="G6" s="19" t="n"/>
      <c r="H6" s="16">
        <f>IF($D6="","",$D6-$E6-IF($F6="",0,$F6)-IF($G6="",0,$G6))</f>
        <v/>
      </c>
    </row>
    <row r="7">
      <c r="A7" s="18" t="n"/>
      <c r="B7" s="10" t="n"/>
      <c r="C7" s="10" t="n"/>
      <c r="D7" s="19" t="n"/>
      <c r="E7" s="12">
        <f>IF($D7="","",$D7*'Custo por Peca'!$B$11)</f>
        <v/>
      </c>
      <c r="F7" s="12">
        <f>IFERROR(INDEX('Custo por Peca'!$L$17:$L$40,MATCH($B7,'Custo por Peca'!$A$17:$A$40,0)),"")</f>
        <v/>
      </c>
      <c r="G7" s="19" t="n"/>
      <c r="H7" s="13">
        <f>IF($D7="","",$D7-$E7-IF($F7="",0,$F7)-IF($G7="",0,$G7))</f>
        <v/>
      </c>
    </row>
    <row r="8">
      <c r="A8" s="18" t="n"/>
      <c r="B8" s="10" t="n"/>
      <c r="C8" s="10" t="n"/>
      <c r="D8" s="19" t="n"/>
      <c r="E8" s="15">
        <f>IF($D8="","",$D8*'Custo por Peca'!$B$11)</f>
        <v/>
      </c>
      <c r="F8" s="15">
        <f>IFERROR(INDEX('Custo por Peca'!$L$17:$L$40,MATCH($B8,'Custo por Peca'!$A$17:$A$40,0)),"")</f>
        <v/>
      </c>
      <c r="G8" s="19" t="n"/>
      <c r="H8" s="16">
        <f>IF($D8="","",$D8-$E8-IF($F8="",0,$F8)-IF($G8="",0,$G8))</f>
        <v/>
      </c>
    </row>
    <row r="9">
      <c r="A9" s="18" t="n"/>
      <c r="B9" s="10" t="n"/>
      <c r="C9" s="10" t="n"/>
      <c r="D9" s="19" t="n"/>
      <c r="E9" s="12">
        <f>IF($D9="","",$D9*'Custo por Peca'!$B$11)</f>
        <v/>
      </c>
      <c r="F9" s="12">
        <f>IFERROR(INDEX('Custo por Peca'!$L$17:$L$40,MATCH($B9,'Custo por Peca'!$A$17:$A$40,0)),"")</f>
        <v/>
      </c>
      <c r="G9" s="19" t="n"/>
      <c r="H9" s="13">
        <f>IF($D9="","",$D9-$E9-IF($F9="",0,$F9)-IF($G9="",0,$G9))</f>
        <v/>
      </c>
    </row>
    <row r="10">
      <c r="A10" s="18" t="n"/>
      <c r="B10" s="10" t="n"/>
      <c r="C10" s="10" t="n"/>
      <c r="D10" s="19" t="n"/>
      <c r="E10" s="15">
        <f>IF($D10="","",$D10*'Custo por Peca'!$B$11)</f>
        <v/>
      </c>
      <c r="F10" s="15">
        <f>IFERROR(INDEX('Custo por Peca'!$L$17:$L$40,MATCH($B10,'Custo por Peca'!$A$17:$A$40,0)),"")</f>
        <v/>
      </c>
      <c r="G10" s="19" t="n"/>
      <c r="H10" s="16">
        <f>IF($D10="","",$D10-$E10-IF($F10="",0,$F10)-IF($G10="",0,$G10))</f>
        <v/>
      </c>
    </row>
    <row r="11">
      <c r="A11" s="18" t="n"/>
      <c r="B11" s="10" t="n"/>
      <c r="C11" s="10" t="n"/>
      <c r="D11" s="19" t="n"/>
      <c r="E11" s="12">
        <f>IF($D11="","",$D11*'Custo por Peca'!$B$11)</f>
        <v/>
      </c>
      <c r="F11" s="12">
        <f>IFERROR(INDEX('Custo por Peca'!$L$17:$L$40,MATCH($B11,'Custo por Peca'!$A$17:$A$40,0)),"")</f>
        <v/>
      </c>
      <c r="G11" s="19" t="n"/>
      <c r="H11" s="13">
        <f>IF($D11="","",$D11-$E11-IF($F11="",0,$F11)-IF($G11="",0,$G11))</f>
        <v/>
      </c>
    </row>
    <row r="12">
      <c r="A12" s="18" t="n"/>
      <c r="B12" s="10" t="n"/>
      <c r="C12" s="10" t="n"/>
      <c r="D12" s="19" t="n"/>
      <c r="E12" s="15">
        <f>IF($D12="","",$D12*'Custo por Peca'!$B$11)</f>
        <v/>
      </c>
      <c r="F12" s="15">
        <f>IFERROR(INDEX('Custo por Peca'!$L$17:$L$40,MATCH($B12,'Custo por Peca'!$A$17:$A$40,0)),"")</f>
        <v/>
      </c>
      <c r="G12" s="19" t="n"/>
      <c r="H12" s="16">
        <f>IF($D12="","",$D12-$E12-IF($F12="",0,$F12)-IF($G12="",0,$G12))</f>
        <v/>
      </c>
    </row>
    <row r="13">
      <c r="A13" s="18" t="n"/>
      <c r="B13" s="10" t="n"/>
      <c r="C13" s="10" t="n"/>
      <c r="D13" s="19" t="n"/>
      <c r="E13" s="12">
        <f>IF($D13="","",$D13*'Custo por Peca'!$B$11)</f>
        <v/>
      </c>
      <c r="F13" s="12">
        <f>IFERROR(INDEX('Custo por Peca'!$L$17:$L$40,MATCH($B13,'Custo por Peca'!$A$17:$A$40,0)),"")</f>
        <v/>
      </c>
      <c r="G13" s="19" t="n"/>
      <c r="H13" s="13">
        <f>IF($D13="","",$D13-$E13-IF($F13="",0,$F13)-IF($G13="",0,$G13))</f>
        <v/>
      </c>
    </row>
    <row r="14">
      <c r="A14" s="18" t="n"/>
      <c r="B14" s="10" t="n"/>
      <c r="C14" s="10" t="n"/>
      <c r="D14" s="19" t="n"/>
      <c r="E14" s="15">
        <f>IF($D14="","",$D14*'Custo por Peca'!$B$11)</f>
        <v/>
      </c>
      <c r="F14" s="15">
        <f>IFERROR(INDEX('Custo por Peca'!$L$17:$L$40,MATCH($B14,'Custo por Peca'!$A$17:$A$40,0)),"")</f>
        <v/>
      </c>
      <c r="G14" s="19" t="n"/>
      <c r="H14" s="16">
        <f>IF($D14="","",$D14-$E14-IF($F14="",0,$F14)-IF($G14="",0,$G14))</f>
        <v/>
      </c>
    </row>
    <row r="15">
      <c r="A15" s="18" t="n"/>
      <c r="B15" s="10" t="n"/>
      <c r="C15" s="10" t="n"/>
      <c r="D15" s="19" t="n"/>
      <c r="E15" s="12">
        <f>IF($D15="","",$D15*'Custo por Peca'!$B$11)</f>
        <v/>
      </c>
      <c r="F15" s="12">
        <f>IFERROR(INDEX('Custo por Peca'!$L$17:$L$40,MATCH($B15,'Custo por Peca'!$A$17:$A$40,0)),"")</f>
        <v/>
      </c>
      <c r="G15" s="19" t="n"/>
      <c r="H15" s="13">
        <f>IF($D15="","",$D15-$E15-IF($F15="",0,$F15)-IF($G15="",0,$G15))</f>
        <v/>
      </c>
    </row>
    <row r="16">
      <c r="A16" s="18" t="n"/>
      <c r="B16" s="10" t="n"/>
      <c r="C16" s="10" t="n"/>
      <c r="D16" s="19" t="n"/>
      <c r="E16" s="15">
        <f>IF($D16="","",$D16*'Custo por Peca'!$B$11)</f>
        <v/>
      </c>
      <c r="F16" s="15">
        <f>IFERROR(INDEX('Custo por Peca'!$L$17:$L$40,MATCH($B16,'Custo por Peca'!$A$17:$A$40,0)),"")</f>
        <v/>
      </c>
      <c r="G16" s="19" t="n"/>
      <c r="H16" s="16">
        <f>IF($D16="","",$D16-$E16-IF($F16="",0,$F16)-IF($G16="",0,$G16))</f>
        <v/>
      </c>
    </row>
    <row r="17">
      <c r="A17" s="18" t="n"/>
      <c r="B17" s="10" t="n"/>
      <c r="C17" s="10" t="n"/>
      <c r="D17" s="19" t="n"/>
      <c r="E17" s="12">
        <f>IF($D17="","",$D17*'Custo por Peca'!$B$11)</f>
        <v/>
      </c>
      <c r="F17" s="12">
        <f>IFERROR(INDEX('Custo por Peca'!$L$17:$L$40,MATCH($B17,'Custo por Peca'!$A$17:$A$40,0)),"")</f>
        <v/>
      </c>
      <c r="G17" s="19" t="n"/>
      <c r="H17" s="13">
        <f>IF($D17="","",$D17-$E17-IF($F17="",0,$F17)-IF($G17="",0,$G17))</f>
        <v/>
      </c>
    </row>
    <row r="18">
      <c r="A18" s="18" t="n"/>
      <c r="B18" s="10" t="n"/>
      <c r="C18" s="10" t="n"/>
      <c r="D18" s="19" t="n"/>
      <c r="E18" s="15">
        <f>IF($D18="","",$D18*'Custo por Peca'!$B$11)</f>
        <v/>
      </c>
      <c r="F18" s="15">
        <f>IFERROR(INDEX('Custo por Peca'!$L$17:$L$40,MATCH($B18,'Custo por Peca'!$A$17:$A$40,0)),"")</f>
        <v/>
      </c>
      <c r="G18" s="19" t="n"/>
      <c r="H18" s="16">
        <f>IF($D18="","",$D18-$E18-IF($F18="",0,$F18)-IF($G18="",0,$G18))</f>
        <v/>
      </c>
    </row>
    <row r="19">
      <c r="A19" s="18" t="n"/>
      <c r="B19" s="10" t="n"/>
      <c r="C19" s="10" t="n"/>
      <c r="D19" s="19" t="n"/>
      <c r="E19" s="12">
        <f>IF($D19="","",$D19*'Custo por Peca'!$B$11)</f>
        <v/>
      </c>
      <c r="F19" s="12">
        <f>IFERROR(INDEX('Custo por Peca'!$L$17:$L$40,MATCH($B19,'Custo por Peca'!$A$17:$A$40,0)),"")</f>
        <v/>
      </c>
      <c r="G19" s="19" t="n"/>
      <c r="H19" s="13">
        <f>IF($D19="","",$D19-$E19-IF($F19="",0,$F19)-IF($G19="",0,$G19))</f>
        <v/>
      </c>
    </row>
    <row r="20">
      <c r="A20" s="18" t="n"/>
      <c r="B20" s="10" t="n"/>
      <c r="C20" s="10" t="n"/>
      <c r="D20" s="19" t="n"/>
      <c r="E20" s="15">
        <f>IF($D20="","",$D20*'Custo por Peca'!$B$11)</f>
        <v/>
      </c>
      <c r="F20" s="15">
        <f>IFERROR(INDEX('Custo por Peca'!$L$17:$L$40,MATCH($B20,'Custo por Peca'!$A$17:$A$40,0)),"")</f>
        <v/>
      </c>
      <c r="G20" s="19" t="n"/>
      <c r="H20" s="16">
        <f>IF($D20="","",$D20-$E20-IF($F20="",0,$F20)-IF($G20="",0,$G20))</f>
        <v/>
      </c>
    </row>
    <row r="21">
      <c r="A21" s="18" t="n"/>
      <c r="B21" s="10" t="n"/>
      <c r="C21" s="10" t="n"/>
      <c r="D21" s="19" t="n"/>
      <c r="E21" s="12">
        <f>IF($D21="","",$D21*'Custo por Peca'!$B$11)</f>
        <v/>
      </c>
      <c r="F21" s="12">
        <f>IFERROR(INDEX('Custo por Peca'!$L$17:$L$40,MATCH($B21,'Custo por Peca'!$A$17:$A$40,0)),"")</f>
        <v/>
      </c>
      <c r="G21" s="19" t="n"/>
      <c r="H21" s="13">
        <f>IF($D21="","",$D21-$E21-IF($F21="",0,$F21)-IF($G21="",0,$G21))</f>
        <v/>
      </c>
    </row>
    <row r="22">
      <c r="A22" s="18" t="n"/>
      <c r="B22" s="10" t="n"/>
      <c r="C22" s="10" t="n"/>
      <c r="D22" s="19" t="n"/>
      <c r="E22" s="15">
        <f>IF($D22="","",$D22*'Custo por Peca'!$B$11)</f>
        <v/>
      </c>
      <c r="F22" s="15">
        <f>IFERROR(INDEX('Custo por Peca'!$L$17:$L$40,MATCH($B22,'Custo por Peca'!$A$17:$A$40,0)),"")</f>
        <v/>
      </c>
      <c r="G22" s="19" t="n"/>
      <c r="H22" s="16">
        <f>IF($D22="","",$D22-$E22-IF($F22="",0,$F22)-IF($G22="",0,$G22))</f>
        <v/>
      </c>
    </row>
    <row r="23">
      <c r="A23" s="18" t="n"/>
      <c r="B23" s="10" t="n"/>
      <c r="C23" s="10" t="n"/>
      <c r="D23" s="19" t="n"/>
      <c r="E23" s="12">
        <f>IF($D23="","",$D23*'Custo por Peca'!$B$11)</f>
        <v/>
      </c>
      <c r="F23" s="12">
        <f>IFERROR(INDEX('Custo por Peca'!$L$17:$L$40,MATCH($B23,'Custo por Peca'!$A$17:$A$40,0)),"")</f>
        <v/>
      </c>
      <c r="G23" s="19" t="n"/>
      <c r="H23" s="13">
        <f>IF($D23="","",$D23-$E23-IF($F23="",0,$F23)-IF($G23="",0,$G23))</f>
        <v/>
      </c>
    </row>
    <row r="24">
      <c r="A24" s="18" t="n"/>
      <c r="B24" s="10" t="n"/>
      <c r="C24" s="10" t="n"/>
      <c r="D24" s="19" t="n"/>
      <c r="E24" s="15">
        <f>IF($D24="","",$D24*'Custo por Peca'!$B$11)</f>
        <v/>
      </c>
      <c r="F24" s="15">
        <f>IFERROR(INDEX('Custo por Peca'!$L$17:$L$40,MATCH($B24,'Custo por Peca'!$A$17:$A$40,0)),"")</f>
        <v/>
      </c>
      <c r="G24" s="19" t="n"/>
      <c r="H24" s="16">
        <f>IF($D24="","",$D24-$E24-IF($F24="",0,$F24)-IF($G24="",0,$G24))</f>
        <v/>
      </c>
    </row>
    <row r="25">
      <c r="A25" s="18" t="n"/>
      <c r="B25" s="10" t="n"/>
      <c r="C25" s="10" t="n"/>
      <c r="D25" s="19" t="n"/>
      <c r="E25" s="12">
        <f>IF($D25="","",$D25*'Custo por Peca'!$B$11)</f>
        <v/>
      </c>
      <c r="F25" s="12">
        <f>IFERROR(INDEX('Custo por Peca'!$L$17:$L$40,MATCH($B25,'Custo por Peca'!$A$17:$A$40,0)),"")</f>
        <v/>
      </c>
      <c r="G25" s="19" t="n"/>
      <c r="H25" s="13">
        <f>IF($D25="","",$D25-$E25-IF($F25="",0,$F25)-IF($G25="",0,$G25))</f>
        <v/>
      </c>
    </row>
    <row r="26">
      <c r="A26" s="18" t="n"/>
      <c r="B26" s="10" t="n"/>
      <c r="C26" s="10" t="n"/>
      <c r="D26" s="19" t="n"/>
      <c r="E26" s="15">
        <f>IF($D26="","",$D26*'Custo por Peca'!$B$11)</f>
        <v/>
      </c>
      <c r="F26" s="15">
        <f>IFERROR(INDEX('Custo por Peca'!$L$17:$L$40,MATCH($B26,'Custo por Peca'!$A$17:$A$40,0)),"")</f>
        <v/>
      </c>
      <c r="G26" s="19" t="n"/>
      <c r="H26" s="16">
        <f>IF($D26="","",$D26-$E26-IF($F26="",0,$F26)-IF($G26="",0,$G26))</f>
        <v/>
      </c>
    </row>
    <row r="27">
      <c r="A27" s="18" t="n"/>
      <c r="B27" s="10" t="n"/>
      <c r="C27" s="10" t="n"/>
      <c r="D27" s="19" t="n"/>
      <c r="E27" s="12">
        <f>IF($D27="","",$D27*'Custo por Peca'!$B$11)</f>
        <v/>
      </c>
      <c r="F27" s="12">
        <f>IFERROR(INDEX('Custo por Peca'!$L$17:$L$40,MATCH($B27,'Custo por Peca'!$A$17:$A$40,0)),"")</f>
        <v/>
      </c>
      <c r="G27" s="19" t="n"/>
      <c r="H27" s="13">
        <f>IF($D27="","",$D27-$E27-IF($F27="",0,$F27)-IF($G27="",0,$G27))</f>
        <v/>
      </c>
    </row>
    <row r="28">
      <c r="A28" s="18" t="n"/>
      <c r="B28" s="10" t="n"/>
      <c r="C28" s="10" t="n"/>
      <c r="D28" s="19" t="n"/>
      <c r="E28" s="15">
        <f>IF($D28="","",$D28*'Custo por Peca'!$B$11)</f>
        <v/>
      </c>
      <c r="F28" s="15">
        <f>IFERROR(INDEX('Custo por Peca'!$L$17:$L$40,MATCH($B28,'Custo por Peca'!$A$17:$A$40,0)),"")</f>
        <v/>
      </c>
      <c r="G28" s="19" t="n"/>
      <c r="H28" s="16">
        <f>IF($D28="","",$D28-$E28-IF($F28="",0,$F28)-IF($G28="",0,$G28))</f>
        <v/>
      </c>
    </row>
    <row r="29">
      <c r="A29" s="18" t="n"/>
      <c r="B29" s="10" t="n"/>
      <c r="C29" s="10" t="n"/>
      <c r="D29" s="19" t="n"/>
      <c r="E29" s="12">
        <f>IF($D29="","",$D29*'Custo por Peca'!$B$11)</f>
        <v/>
      </c>
      <c r="F29" s="12">
        <f>IFERROR(INDEX('Custo por Peca'!$L$17:$L$40,MATCH($B29,'Custo por Peca'!$A$17:$A$40,0)),"")</f>
        <v/>
      </c>
      <c r="G29" s="19" t="n"/>
      <c r="H29" s="13">
        <f>IF($D29="","",$D29-$E29-IF($F29="",0,$F29)-IF($G29="",0,$G29))</f>
        <v/>
      </c>
    </row>
    <row r="30">
      <c r="A30" s="18" t="n"/>
      <c r="B30" s="10" t="n"/>
      <c r="C30" s="10" t="n"/>
      <c r="D30" s="19" t="n"/>
      <c r="E30" s="15">
        <f>IF($D30="","",$D30*'Custo por Peca'!$B$11)</f>
        <v/>
      </c>
      <c r="F30" s="15">
        <f>IFERROR(INDEX('Custo por Peca'!$L$17:$L$40,MATCH($B30,'Custo por Peca'!$A$17:$A$40,0)),"")</f>
        <v/>
      </c>
      <c r="G30" s="19" t="n"/>
      <c r="H30" s="16">
        <f>IF($D30="","",$D30-$E30-IF($F30="",0,$F30)-IF($G30="",0,$G30))</f>
        <v/>
      </c>
    </row>
    <row r="31">
      <c r="A31" s="18" t="n"/>
      <c r="B31" s="10" t="n"/>
      <c r="C31" s="10" t="n"/>
      <c r="D31" s="19" t="n"/>
      <c r="E31" s="12">
        <f>IF($D31="","",$D31*'Custo por Peca'!$B$11)</f>
        <v/>
      </c>
      <c r="F31" s="12">
        <f>IFERROR(INDEX('Custo por Peca'!$L$17:$L$40,MATCH($B31,'Custo por Peca'!$A$17:$A$40,0)),"")</f>
        <v/>
      </c>
      <c r="G31" s="19" t="n"/>
      <c r="H31" s="13">
        <f>IF($D31="","",$D31-$E31-IF($F31="",0,$F31)-IF($G31="",0,$G31))</f>
        <v/>
      </c>
    </row>
    <row r="32">
      <c r="A32" s="18" t="n"/>
      <c r="B32" s="10" t="n"/>
      <c r="C32" s="10" t="n"/>
      <c r="D32" s="19" t="n"/>
      <c r="E32" s="15">
        <f>IF($D32="","",$D32*'Custo por Peca'!$B$11)</f>
        <v/>
      </c>
      <c r="F32" s="15">
        <f>IFERROR(INDEX('Custo por Peca'!$L$17:$L$40,MATCH($B32,'Custo por Peca'!$A$17:$A$40,0)),"")</f>
        <v/>
      </c>
      <c r="G32" s="19" t="n"/>
      <c r="H32" s="16">
        <f>IF($D32="","",$D32-$E32-IF($F32="",0,$F32)-IF($G32="",0,$G32))</f>
        <v/>
      </c>
    </row>
    <row r="33">
      <c r="A33" s="18" t="n"/>
      <c r="B33" s="10" t="n"/>
      <c r="C33" s="10" t="n"/>
      <c r="D33" s="19" t="n"/>
      <c r="E33" s="12">
        <f>IF($D33="","",$D33*'Custo por Peca'!$B$11)</f>
        <v/>
      </c>
      <c r="F33" s="12">
        <f>IFERROR(INDEX('Custo por Peca'!$L$17:$L$40,MATCH($B33,'Custo por Peca'!$A$17:$A$40,0)),"")</f>
        <v/>
      </c>
      <c r="G33" s="19" t="n"/>
      <c r="H33" s="13">
        <f>IF($D33="","",$D33-$E33-IF($F33="",0,$F33)-IF($G33="",0,$G33))</f>
        <v/>
      </c>
    </row>
    <row r="34">
      <c r="A34" s="18" t="n"/>
      <c r="B34" s="10" t="n"/>
      <c r="C34" s="10" t="n"/>
      <c r="D34" s="19" t="n"/>
      <c r="E34" s="15">
        <f>IF($D34="","",$D34*'Custo por Peca'!$B$11)</f>
        <v/>
      </c>
      <c r="F34" s="15">
        <f>IFERROR(INDEX('Custo por Peca'!$L$17:$L$40,MATCH($B34,'Custo por Peca'!$A$17:$A$40,0)),"")</f>
        <v/>
      </c>
      <c r="G34" s="19" t="n"/>
      <c r="H34" s="16">
        <f>IF($D34="","",$D34-$E34-IF($F34="",0,$F34)-IF($G34="",0,$G34))</f>
        <v/>
      </c>
    </row>
    <row r="35">
      <c r="A35" s="18" t="n"/>
      <c r="B35" s="10" t="n"/>
      <c r="C35" s="10" t="n"/>
      <c r="D35" s="19" t="n"/>
      <c r="E35" s="12">
        <f>IF($D35="","",$D35*'Custo por Peca'!$B$11)</f>
        <v/>
      </c>
      <c r="F35" s="12">
        <f>IFERROR(INDEX('Custo por Peca'!$L$17:$L$40,MATCH($B35,'Custo por Peca'!$A$17:$A$40,0)),"")</f>
        <v/>
      </c>
      <c r="G35" s="19" t="n"/>
      <c r="H35" s="13">
        <f>IF($D35="","",$D35-$E35-IF($F35="",0,$F35)-IF($G35="",0,$G35))</f>
        <v/>
      </c>
    </row>
    <row r="36">
      <c r="A36" s="18" t="n"/>
      <c r="B36" s="10" t="n"/>
      <c r="C36" s="10" t="n"/>
      <c r="D36" s="19" t="n"/>
      <c r="E36" s="15">
        <f>IF($D36="","",$D36*'Custo por Peca'!$B$11)</f>
        <v/>
      </c>
      <c r="F36" s="15">
        <f>IFERROR(INDEX('Custo por Peca'!$L$17:$L$40,MATCH($B36,'Custo por Peca'!$A$17:$A$40,0)),"")</f>
        <v/>
      </c>
      <c r="G36" s="19" t="n"/>
      <c r="H36" s="16">
        <f>IF($D36="","",$D36-$E36-IF($F36="",0,$F36)-IF($G36="",0,$G36))</f>
        <v/>
      </c>
    </row>
    <row r="37">
      <c r="A37" s="18" t="n"/>
      <c r="B37" s="10" t="n"/>
      <c r="C37" s="10" t="n"/>
      <c r="D37" s="19" t="n"/>
      <c r="E37" s="12">
        <f>IF($D37="","",$D37*'Custo por Peca'!$B$11)</f>
        <v/>
      </c>
      <c r="F37" s="12">
        <f>IFERROR(INDEX('Custo por Peca'!$L$17:$L$40,MATCH($B37,'Custo por Peca'!$A$17:$A$40,0)),"")</f>
        <v/>
      </c>
      <c r="G37" s="19" t="n"/>
      <c r="H37" s="13">
        <f>IF($D37="","",$D37-$E37-IF($F37="",0,$F37)-IF($G37="",0,$G37))</f>
        <v/>
      </c>
    </row>
    <row r="38">
      <c r="A38" s="18" t="n"/>
      <c r="B38" s="10" t="n"/>
      <c r="C38" s="10" t="n"/>
      <c r="D38" s="19" t="n"/>
      <c r="E38" s="15">
        <f>IF($D38="","",$D38*'Custo por Peca'!$B$11)</f>
        <v/>
      </c>
      <c r="F38" s="15">
        <f>IFERROR(INDEX('Custo por Peca'!$L$17:$L$40,MATCH($B38,'Custo por Peca'!$A$17:$A$40,0)),"")</f>
        <v/>
      </c>
      <c r="G38" s="19" t="n"/>
      <c r="H38" s="16">
        <f>IF($D38="","",$D38-$E38-IF($F38="",0,$F38)-IF($G38="",0,$G38))</f>
        <v/>
      </c>
    </row>
    <row r="39">
      <c r="A39" s="18" t="n"/>
      <c r="B39" s="10" t="n"/>
      <c r="C39" s="10" t="n"/>
      <c r="D39" s="19" t="n"/>
      <c r="E39" s="12">
        <f>IF($D39="","",$D39*'Custo por Peca'!$B$11)</f>
        <v/>
      </c>
      <c r="F39" s="12">
        <f>IFERROR(INDEX('Custo por Peca'!$L$17:$L$40,MATCH($B39,'Custo por Peca'!$A$17:$A$40,0)),"")</f>
        <v/>
      </c>
      <c r="G39" s="19" t="n"/>
      <c r="H39" s="13">
        <f>IF($D39="","",$D39-$E39-IF($F39="",0,$F39)-IF($G39="",0,$G39))</f>
        <v/>
      </c>
    </row>
    <row r="40">
      <c r="A40" s="18" t="n"/>
      <c r="B40" s="10" t="n"/>
      <c r="C40" s="10" t="n"/>
      <c r="D40" s="19" t="n"/>
      <c r="E40" s="15">
        <f>IF($D40="","",$D40*'Custo por Peca'!$B$11)</f>
        <v/>
      </c>
      <c r="F40" s="15">
        <f>IFERROR(INDEX('Custo por Peca'!$L$17:$L$40,MATCH($B40,'Custo por Peca'!$A$17:$A$40,0)),"")</f>
        <v/>
      </c>
      <c r="G40" s="19" t="n"/>
      <c r="H40" s="16">
        <f>IF($D40="","",$D40-$E40-IF($F40="",0,$F40)-IF($G40="",0,$G40))</f>
        <v/>
      </c>
    </row>
    <row r="41">
      <c r="A41" s="18" t="n"/>
      <c r="B41" s="10" t="n"/>
      <c r="C41" s="10" t="n"/>
      <c r="D41" s="19" t="n"/>
      <c r="E41" s="12">
        <f>IF($D41="","",$D41*'Custo por Peca'!$B$11)</f>
        <v/>
      </c>
      <c r="F41" s="12">
        <f>IFERROR(INDEX('Custo por Peca'!$L$17:$L$40,MATCH($B41,'Custo por Peca'!$A$17:$A$40,0)),"")</f>
        <v/>
      </c>
      <c r="G41" s="19" t="n"/>
      <c r="H41" s="13">
        <f>IF($D41="","",$D41-$E41-IF($F41="",0,$F41)-IF($G41="",0,$G41))</f>
        <v/>
      </c>
    </row>
    <row r="42">
      <c r="A42" s="18" t="n"/>
      <c r="B42" s="10" t="n"/>
      <c r="C42" s="10" t="n"/>
      <c r="D42" s="19" t="n"/>
      <c r="E42" s="15">
        <f>IF($D42="","",$D42*'Custo por Peca'!$B$11)</f>
        <v/>
      </c>
      <c r="F42" s="15">
        <f>IFERROR(INDEX('Custo por Peca'!$L$17:$L$40,MATCH($B42,'Custo por Peca'!$A$17:$A$40,0)),"")</f>
        <v/>
      </c>
      <c r="G42" s="19" t="n"/>
      <c r="H42" s="16">
        <f>IF($D42="","",$D42-$E42-IF($F42="",0,$F42)-IF($G42="",0,$G42))</f>
        <v/>
      </c>
    </row>
    <row r="43">
      <c r="A43" s="18" t="n"/>
      <c r="B43" s="10" t="n"/>
      <c r="C43" s="10" t="n"/>
      <c r="D43" s="19" t="n"/>
      <c r="E43" s="12">
        <f>IF($D43="","",$D43*'Custo por Peca'!$B$11)</f>
        <v/>
      </c>
      <c r="F43" s="12">
        <f>IFERROR(INDEX('Custo por Peca'!$L$17:$L$40,MATCH($B43,'Custo por Peca'!$A$17:$A$40,0)),"")</f>
        <v/>
      </c>
      <c r="G43" s="19" t="n"/>
      <c r="H43" s="13">
        <f>IF($D43="","",$D43-$E43-IF($F43="",0,$F43)-IF($G43="",0,$G43))</f>
        <v/>
      </c>
    </row>
    <row r="44">
      <c r="A44" s="18" t="n"/>
      <c r="B44" s="10" t="n"/>
      <c r="C44" s="10" t="n"/>
      <c r="D44" s="19" t="n"/>
      <c r="E44" s="15">
        <f>IF($D44="","",$D44*'Custo por Peca'!$B$11)</f>
        <v/>
      </c>
      <c r="F44" s="15">
        <f>IFERROR(INDEX('Custo por Peca'!$L$17:$L$40,MATCH($B44,'Custo por Peca'!$A$17:$A$40,0)),"")</f>
        <v/>
      </c>
      <c r="G44" s="19" t="n"/>
      <c r="H44" s="16">
        <f>IF($D44="","",$D44-$E44-IF($F44="",0,$F44)-IF($G44="",0,$G44))</f>
        <v/>
      </c>
    </row>
    <row r="45">
      <c r="A45" s="18" t="n"/>
      <c r="B45" s="10" t="n"/>
      <c r="C45" s="10" t="n"/>
      <c r="D45" s="19" t="n"/>
      <c r="E45" s="12">
        <f>IF($D45="","",$D45*'Custo por Peca'!$B$11)</f>
        <v/>
      </c>
      <c r="F45" s="12">
        <f>IFERROR(INDEX('Custo por Peca'!$L$17:$L$40,MATCH($B45,'Custo por Peca'!$A$17:$A$40,0)),"")</f>
        <v/>
      </c>
      <c r="G45" s="19" t="n"/>
      <c r="H45" s="13">
        <f>IF($D45="","",$D45-$E45-IF($F45="",0,$F45)-IF($G45="",0,$G45))</f>
        <v/>
      </c>
    </row>
    <row r="46">
      <c r="A46" s="18" t="n"/>
      <c r="B46" s="10" t="n"/>
      <c r="C46" s="10" t="n"/>
      <c r="D46" s="19" t="n"/>
      <c r="E46" s="15">
        <f>IF($D46="","",$D46*'Custo por Peca'!$B$11)</f>
        <v/>
      </c>
      <c r="F46" s="15">
        <f>IFERROR(INDEX('Custo por Peca'!$L$17:$L$40,MATCH($B46,'Custo por Peca'!$A$17:$A$40,0)),"")</f>
        <v/>
      </c>
      <c r="G46" s="19" t="n"/>
      <c r="H46" s="16">
        <f>IF($D46="","",$D46-$E46-IF($F46="",0,$F46)-IF($G46="",0,$G46))</f>
        <v/>
      </c>
    </row>
    <row r="47">
      <c r="A47" s="18" t="n"/>
      <c r="B47" s="10" t="n"/>
      <c r="C47" s="10" t="n"/>
      <c r="D47" s="19" t="n"/>
      <c r="E47" s="12">
        <f>IF($D47="","",$D47*'Custo por Peca'!$B$11)</f>
        <v/>
      </c>
      <c r="F47" s="12">
        <f>IFERROR(INDEX('Custo por Peca'!$L$17:$L$40,MATCH($B47,'Custo por Peca'!$A$17:$A$40,0)),"")</f>
        <v/>
      </c>
      <c r="G47" s="19" t="n"/>
      <c r="H47" s="13">
        <f>IF($D47="","",$D47-$E47-IF($F47="",0,$F47)-IF($G47="",0,$G47))</f>
        <v/>
      </c>
    </row>
    <row r="48">
      <c r="A48" s="18" t="n"/>
      <c r="B48" s="10" t="n"/>
      <c r="C48" s="10" t="n"/>
      <c r="D48" s="19" t="n"/>
      <c r="E48" s="15">
        <f>IF($D48="","",$D48*'Custo por Peca'!$B$11)</f>
        <v/>
      </c>
      <c r="F48" s="15">
        <f>IFERROR(INDEX('Custo por Peca'!$L$17:$L$40,MATCH($B48,'Custo por Peca'!$A$17:$A$40,0)),"")</f>
        <v/>
      </c>
      <c r="G48" s="19" t="n"/>
      <c r="H48" s="16">
        <f>IF($D48="","",$D48-$E48-IF($F48="",0,$F48)-IF($G48="",0,$G48))</f>
        <v/>
      </c>
    </row>
    <row r="49">
      <c r="A49" s="18" t="n"/>
      <c r="B49" s="10" t="n"/>
      <c r="C49" s="10" t="n"/>
      <c r="D49" s="19" t="n"/>
      <c r="E49" s="12">
        <f>IF($D49="","",$D49*'Custo por Peca'!$B$11)</f>
        <v/>
      </c>
      <c r="F49" s="12">
        <f>IFERROR(INDEX('Custo por Peca'!$L$17:$L$40,MATCH($B49,'Custo por Peca'!$A$17:$A$40,0)),"")</f>
        <v/>
      </c>
      <c r="G49" s="19" t="n"/>
      <c r="H49" s="13">
        <f>IF($D49="","",$D49-$E49-IF($F49="",0,$F49)-IF($G49="",0,$G49))</f>
        <v/>
      </c>
    </row>
    <row r="50">
      <c r="A50" s="18" t="n"/>
      <c r="B50" s="10" t="n"/>
      <c r="C50" s="10" t="n"/>
      <c r="D50" s="19" t="n"/>
      <c r="E50" s="15">
        <f>IF($D50="","",$D50*'Custo por Peca'!$B$11)</f>
        <v/>
      </c>
      <c r="F50" s="15">
        <f>IFERROR(INDEX('Custo por Peca'!$L$17:$L$40,MATCH($B50,'Custo por Peca'!$A$17:$A$40,0)),"")</f>
        <v/>
      </c>
      <c r="G50" s="19" t="n"/>
      <c r="H50" s="16">
        <f>IF($D50="","",$D50-$E50-IF($F50="",0,$F50)-IF($G50="",0,$G50))</f>
        <v/>
      </c>
    </row>
    <row r="51">
      <c r="A51" s="18" t="n"/>
      <c r="B51" s="10" t="n"/>
      <c r="C51" s="10" t="n"/>
      <c r="D51" s="19" t="n"/>
      <c r="E51" s="12">
        <f>IF($D51="","",$D51*'Custo por Peca'!$B$11)</f>
        <v/>
      </c>
      <c r="F51" s="12">
        <f>IFERROR(INDEX('Custo por Peca'!$L$17:$L$40,MATCH($B51,'Custo por Peca'!$A$17:$A$40,0)),"")</f>
        <v/>
      </c>
      <c r="G51" s="19" t="n"/>
      <c r="H51" s="13">
        <f>IF($D51="","",$D51-$E51-IF($F51="",0,$F51)-IF($G51="",0,$G51))</f>
        <v/>
      </c>
    </row>
    <row r="52">
      <c r="A52" s="18" t="n"/>
      <c r="B52" s="10" t="n"/>
      <c r="C52" s="10" t="n"/>
      <c r="D52" s="19" t="n"/>
      <c r="E52" s="15">
        <f>IF($D52="","",$D52*'Custo por Peca'!$B$11)</f>
        <v/>
      </c>
      <c r="F52" s="15">
        <f>IFERROR(INDEX('Custo por Peca'!$L$17:$L$40,MATCH($B52,'Custo por Peca'!$A$17:$A$40,0)),"")</f>
        <v/>
      </c>
      <c r="G52" s="19" t="n"/>
      <c r="H52" s="16">
        <f>IF($D52="","",$D52-$E52-IF($F52="",0,$F52)-IF($G52="",0,$G52))</f>
        <v/>
      </c>
    </row>
    <row r="53">
      <c r="A53" s="18" t="n"/>
      <c r="B53" s="10" t="n"/>
      <c r="C53" s="10" t="n"/>
      <c r="D53" s="19" t="n"/>
      <c r="E53" s="12">
        <f>IF($D53="","",$D53*'Custo por Peca'!$B$11)</f>
        <v/>
      </c>
      <c r="F53" s="12">
        <f>IFERROR(INDEX('Custo por Peca'!$L$17:$L$40,MATCH($B53,'Custo por Peca'!$A$17:$A$40,0)),"")</f>
        <v/>
      </c>
      <c r="G53" s="19" t="n"/>
      <c r="H53" s="13">
        <f>IF($D53="","",$D53-$E53-IF($F53="",0,$F53)-IF($G53="",0,$G53))</f>
        <v/>
      </c>
    </row>
    <row r="54">
      <c r="A54" s="18" t="n"/>
      <c r="B54" s="10" t="n"/>
      <c r="C54" s="10" t="n"/>
      <c r="D54" s="19" t="n"/>
      <c r="E54" s="15">
        <f>IF($D54="","",$D54*'Custo por Peca'!$B$11)</f>
        <v/>
      </c>
      <c r="F54" s="15">
        <f>IFERROR(INDEX('Custo por Peca'!$L$17:$L$40,MATCH($B54,'Custo por Peca'!$A$17:$A$40,0)),"")</f>
        <v/>
      </c>
      <c r="G54" s="19" t="n"/>
      <c r="H54" s="16">
        <f>IF($D54="","",$D54-$E54-IF($F54="",0,$F54)-IF($G54="",0,$G54))</f>
        <v/>
      </c>
    </row>
    <row r="55">
      <c r="A55" s="18" t="n"/>
      <c r="B55" s="10" t="n"/>
      <c r="C55" s="10" t="n"/>
      <c r="D55" s="19" t="n"/>
      <c r="E55" s="12">
        <f>IF($D55="","",$D55*'Custo por Peca'!$B$11)</f>
        <v/>
      </c>
      <c r="F55" s="12">
        <f>IFERROR(INDEX('Custo por Peca'!$L$17:$L$40,MATCH($B55,'Custo por Peca'!$A$17:$A$40,0)),"")</f>
        <v/>
      </c>
      <c r="G55" s="19" t="n"/>
      <c r="H55" s="13">
        <f>IF($D55="","",$D55-$E55-IF($F55="",0,$F55)-IF($G55="",0,$G55))</f>
        <v/>
      </c>
    </row>
    <row r="56">
      <c r="A56" s="18" t="n"/>
      <c r="B56" s="10" t="n"/>
      <c r="C56" s="10" t="n"/>
      <c r="D56" s="19" t="n"/>
      <c r="E56" s="15">
        <f>IF($D56="","",$D56*'Custo por Peca'!$B$11)</f>
        <v/>
      </c>
      <c r="F56" s="15">
        <f>IFERROR(INDEX('Custo por Peca'!$L$17:$L$40,MATCH($B56,'Custo por Peca'!$A$17:$A$40,0)),"")</f>
        <v/>
      </c>
      <c r="G56" s="19" t="n"/>
      <c r="H56" s="16">
        <f>IF($D56="","",$D56-$E56-IF($F56="",0,$F56)-IF($G56="",0,$G56))</f>
        <v/>
      </c>
    </row>
    <row r="57">
      <c r="A57" s="18" t="n"/>
      <c r="B57" s="10" t="n"/>
      <c r="C57" s="10" t="n"/>
      <c r="D57" s="19" t="n"/>
      <c r="E57" s="12">
        <f>IF($D57="","",$D57*'Custo por Peca'!$B$11)</f>
        <v/>
      </c>
      <c r="F57" s="12">
        <f>IFERROR(INDEX('Custo por Peca'!$L$17:$L$40,MATCH($B57,'Custo por Peca'!$A$17:$A$40,0)),"")</f>
        <v/>
      </c>
      <c r="G57" s="19" t="n"/>
      <c r="H57" s="13">
        <f>IF($D57="","",$D57-$E57-IF($F57="",0,$F57)-IF($G57="",0,$G57))</f>
        <v/>
      </c>
    </row>
    <row r="58">
      <c r="A58" s="18" t="n"/>
      <c r="B58" s="10" t="n"/>
      <c r="C58" s="10" t="n"/>
      <c r="D58" s="19" t="n"/>
      <c r="E58" s="15">
        <f>IF($D58="","",$D58*'Custo por Peca'!$B$11)</f>
        <v/>
      </c>
      <c r="F58" s="15">
        <f>IFERROR(INDEX('Custo por Peca'!$L$17:$L$40,MATCH($B58,'Custo por Peca'!$A$17:$A$40,0)),"")</f>
        <v/>
      </c>
      <c r="G58" s="19" t="n"/>
      <c r="H58" s="16">
        <f>IF($D58="","",$D58-$E58-IF($F58="",0,$F58)-IF($G58="",0,$G58))</f>
        <v/>
      </c>
    </row>
    <row r="59">
      <c r="A59" s="18" t="n"/>
      <c r="B59" s="10" t="n"/>
      <c r="C59" s="10" t="n"/>
      <c r="D59" s="19" t="n"/>
      <c r="E59" s="12">
        <f>IF($D59="","",$D59*'Custo por Peca'!$B$11)</f>
        <v/>
      </c>
      <c r="F59" s="12">
        <f>IFERROR(INDEX('Custo por Peca'!$L$17:$L$40,MATCH($B59,'Custo por Peca'!$A$17:$A$40,0)),"")</f>
        <v/>
      </c>
      <c r="G59" s="19" t="n"/>
      <c r="H59" s="13">
        <f>IF($D59="","",$D59-$E59-IF($F59="",0,$F59)-IF($G59="",0,$G59))</f>
        <v/>
      </c>
    </row>
    <row r="60">
      <c r="A60" s="18" t="n"/>
      <c r="B60" s="10" t="n"/>
      <c r="C60" s="10" t="n"/>
      <c r="D60" s="19" t="n"/>
      <c r="E60" s="15">
        <f>IF($D60="","",$D60*'Custo por Peca'!$B$11)</f>
        <v/>
      </c>
      <c r="F60" s="15">
        <f>IFERROR(INDEX('Custo por Peca'!$L$17:$L$40,MATCH($B60,'Custo por Peca'!$A$17:$A$40,0)),"")</f>
        <v/>
      </c>
      <c r="G60" s="19" t="n"/>
      <c r="H60" s="16">
        <f>IF($D60="","",$D60-$E60-IF($F60="",0,$F60)-IF($G60="",0,$G60))</f>
        <v/>
      </c>
    </row>
    <row r="61">
      <c r="A61" s="18" t="n"/>
      <c r="B61" s="10" t="n"/>
      <c r="C61" s="10" t="n"/>
      <c r="D61" s="19" t="n"/>
      <c r="E61" s="12">
        <f>IF($D61="","",$D61*'Custo por Peca'!$B$11)</f>
        <v/>
      </c>
      <c r="F61" s="12">
        <f>IFERROR(INDEX('Custo por Peca'!$L$17:$L$40,MATCH($B61,'Custo por Peca'!$A$17:$A$40,0)),"")</f>
        <v/>
      </c>
      <c r="G61" s="19" t="n"/>
      <c r="H61" s="13">
        <f>IF($D61="","",$D61-$E61-IF($F61="",0,$F61)-IF($G61="",0,$G61))</f>
        <v/>
      </c>
    </row>
    <row r="62">
      <c r="A62" s="18" t="n"/>
      <c r="B62" s="10" t="n"/>
      <c r="C62" s="10" t="n"/>
      <c r="D62" s="19" t="n"/>
      <c r="E62" s="15">
        <f>IF($D62="","",$D62*'Custo por Peca'!$B$11)</f>
        <v/>
      </c>
      <c r="F62" s="15">
        <f>IFERROR(INDEX('Custo por Peca'!$L$17:$L$40,MATCH($B62,'Custo por Peca'!$A$17:$A$40,0)),"")</f>
        <v/>
      </c>
      <c r="G62" s="19" t="n"/>
      <c r="H62" s="16">
        <f>IF($D62="","",$D62-$E62-IF($F62="",0,$F62)-IF($G62="",0,$G62))</f>
        <v/>
      </c>
    </row>
    <row r="63">
      <c r="A63" s="18" t="n"/>
      <c r="B63" s="10" t="n"/>
      <c r="C63" s="10" t="n"/>
      <c r="D63" s="19" t="n"/>
      <c r="E63" s="12">
        <f>IF($D63="","",$D63*'Custo por Peca'!$B$11)</f>
        <v/>
      </c>
      <c r="F63" s="12">
        <f>IFERROR(INDEX('Custo por Peca'!$L$17:$L$40,MATCH($B63,'Custo por Peca'!$A$17:$A$40,0)),"")</f>
        <v/>
      </c>
      <c r="G63" s="19" t="n"/>
      <c r="H63" s="13">
        <f>IF($D63="","",$D63-$E63-IF($F63="",0,$F63)-IF($G63="",0,$G63))</f>
        <v/>
      </c>
    </row>
    <row r="64">
      <c r="A64" s="18" t="n"/>
      <c r="B64" s="10" t="n"/>
      <c r="C64" s="10" t="n"/>
      <c r="D64" s="19" t="n"/>
      <c r="E64" s="15">
        <f>IF($D64="","",$D64*'Custo por Peca'!$B$11)</f>
        <v/>
      </c>
      <c r="F64" s="15">
        <f>IFERROR(INDEX('Custo por Peca'!$L$17:$L$40,MATCH($B64,'Custo por Peca'!$A$17:$A$40,0)),"")</f>
        <v/>
      </c>
      <c r="G64" s="19" t="n"/>
      <c r="H64" s="16">
        <f>IF($D64="","",$D64-$E64-IF($F64="",0,$F64)-IF($G64="",0,$G64))</f>
        <v/>
      </c>
    </row>
    <row r="66">
      <c r="C66" s="3" t="inlineStr">
        <is>
          <t>TOTAIS</t>
        </is>
      </c>
      <c r="D66" s="13">
        <f>SUM(D5:D64)</f>
        <v/>
      </c>
      <c r="E66" s="13">
        <f>SUM(E5:E64)</f>
        <v/>
      </c>
      <c r="F66" s="13">
        <f>SUM(F5:F64)</f>
        <v/>
      </c>
      <c r="G66" s="13">
        <f>SUM(G5:G64)</f>
        <v/>
      </c>
      <c r="H66" s="13">
        <f>SUM(H5:H64)</f>
        <v/>
      </c>
    </row>
    <row r="67">
      <c r="C67" s="3" t="inlineStr">
        <is>
          <t>Ticket médio</t>
        </is>
      </c>
      <c r="D67" s="20">
        <f>IFERROR(D66/COUNT(D5:D64),0)</f>
        <v/>
      </c>
    </row>
    <row r="68">
      <c r="C68" s="3" t="inlineStr">
        <is>
          <t>Margem média</t>
        </is>
      </c>
      <c r="D68" s="21">
        <f>IFERROR(H66/D66,0)</f>
        <v/>
      </c>
    </row>
    <row r="70">
      <c r="A70" s="2" t="inlineStr">
        <is>
          <t>Escreva o nome da peça EXATAMENTE como está na aba Custo por Peca, senão o custo não é encontrado.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2026-09-09T14:33:34Z</dcterms:created>
  <dcterms:modified xsi:type="dcterms:W3CDTF">2026-09-09T14:33:35Z</dcterms:modified>
</cp:coreProperties>
</file>